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LuisRodriguez\Desktop\Cursor\Tepui Ventures Field Production App\"/>
    </mc:Choice>
  </mc:AlternateContent>
  <xr:revisionPtr revIDLastSave="0" documentId="13_ncr:1_{3D9AE102-3E40-4528-9708-92F3709E364F}" xr6:coauthVersionLast="47" xr6:coauthVersionMax="47" xr10:uidLastSave="{00000000-0000-0000-0000-000000000000}"/>
  <bookViews>
    <workbookView xWindow="-96" yWindow="-96" windowWidth="23232" windowHeight="13872" tabRatio="904" activeTab="6" xr2:uid="{00000000-000D-0000-FFFF-FFFF00000000}"/>
  </bookViews>
  <sheets>
    <sheet name="112225" sheetId="6" r:id="rId1"/>
    <sheet name="112325" sheetId="7" r:id="rId2"/>
    <sheet name="112425" sheetId="8" r:id="rId3"/>
    <sheet name="112525" sheetId="9" r:id="rId4"/>
    <sheet name="112625" sheetId="10" r:id="rId5"/>
    <sheet name="112725" sheetId="11" r:id="rId6"/>
    <sheet name="112825" sheetId="12" r:id="rId7"/>
    <sheet name="112925" sheetId="13" r:id="rId8"/>
    <sheet name="113025" sheetId="14" r:id="rId9"/>
    <sheet name="12125" sheetId="15" r:id="rId10"/>
    <sheet name="12225" sheetId="16" r:id="rId11"/>
    <sheet name="12325" sheetId="17" r:id="rId12"/>
    <sheet name="12425" sheetId="18" r:id="rId13"/>
    <sheet name="12525" sheetId="19" r:id="rId14"/>
    <sheet name="12625" sheetId="20" r:id="rId15"/>
    <sheet name="12725" sheetId="21" r:id="rId16"/>
    <sheet name="12825" sheetId="22" r:id="rId17"/>
    <sheet name="12925" sheetId="23" r:id="rId1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7" roundtripDataChecksum="lRSVwAsMi28S7wAXEOKSQP2CFW1ZSQp0AcagNKO+Xlw="/>
    </ext>
  </extLst>
</workbook>
</file>

<file path=xl/calcChain.xml><?xml version="1.0" encoding="utf-8"?>
<calcChain xmlns="http://schemas.openxmlformats.org/spreadsheetml/2006/main">
  <c r="H37" i="23" l="1"/>
  <c r="D12" i="23"/>
  <c r="H37" i="22"/>
  <c r="D12" i="22"/>
  <c r="H37" i="21"/>
  <c r="D12" i="21"/>
  <c r="H37" i="20"/>
  <c r="D12" i="20"/>
  <c r="H37" i="19"/>
  <c r="D12" i="19"/>
  <c r="H37" i="18"/>
  <c r="D12" i="18"/>
  <c r="H37" i="17"/>
  <c r="D12" i="17"/>
  <c r="H38" i="16"/>
  <c r="D27" i="16"/>
  <c r="D26" i="16"/>
  <c r="D25" i="16"/>
  <c r="D24" i="16"/>
  <c r="D23" i="16"/>
  <c r="D22" i="16"/>
  <c r="D21" i="16"/>
  <c r="D20" i="16"/>
  <c r="D19" i="16"/>
  <c r="D18" i="16"/>
  <c r="D17" i="16"/>
  <c r="D16" i="16"/>
  <c r="D15" i="16"/>
  <c r="D14" i="16"/>
  <c r="D13" i="16"/>
  <c r="D12" i="16"/>
  <c r="D11" i="16"/>
  <c r="D10" i="16"/>
  <c r="D9" i="16"/>
  <c r="D8" i="16"/>
  <c r="D7" i="16"/>
  <c r="D6" i="16"/>
  <c r="D5" i="16"/>
  <c r="D4" i="16"/>
  <c r="D3" i="16"/>
  <c r="D2" i="16"/>
  <c r="H38" i="15"/>
  <c r="D27" i="15"/>
  <c r="D26" i="15"/>
  <c r="D25" i="15"/>
  <c r="D24" i="15"/>
  <c r="D23" i="15"/>
  <c r="D22" i="15"/>
  <c r="D21" i="15"/>
  <c r="D20" i="15"/>
  <c r="D19" i="15"/>
  <c r="D18" i="15"/>
  <c r="D17" i="15"/>
  <c r="D16" i="15"/>
  <c r="D15" i="15"/>
  <c r="D14" i="15"/>
  <c r="D13" i="15"/>
  <c r="D12" i="15"/>
  <c r="D11" i="15"/>
  <c r="D10" i="15"/>
  <c r="D9" i="15"/>
  <c r="D8" i="15"/>
  <c r="D7" i="15"/>
  <c r="D6" i="15"/>
  <c r="D5" i="15"/>
  <c r="D4" i="15"/>
  <c r="D3" i="15"/>
  <c r="D2" i="15"/>
  <c r="H38" i="14"/>
  <c r="O32" i="14"/>
  <c r="O31" i="14"/>
  <c r="O30" i="14"/>
  <c r="O29" i="14"/>
  <c r="O28" i="14"/>
  <c r="O27" i="14"/>
  <c r="D27" i="14"/>
  <c r="O26" i="14"/>
  <c r="D26" i="14"/>
  <c r="O25" i="14"/>
  <c r="D25" i="14"/>
  <c r="O24" i="14"/>
  <c r="D24" i="14"/>
  <c r="O23" i="14"/>
  <c r="D23" i="14"/>
  <c r="O22" i="14"/>
  <c r="D22" i="14"/>
  <c r="O21" i="14"/>
  <c r="D21" i="14"/>
  <c r="O20" i="14"/>
  <c r="D20" i="14"/>
  <c r="O19" i="14"/>
  <c r="D19" i="14"/>
  <c r="O18" i="14"/>
  <c r="D18" i="14"/>
  <c r="O17" i="14"/>
  <c r="D17" i="14"/>
  <c r="O16" i="14"/>
  <c r="D16" i="14"/>
  <c r="O15" i="14"/>
  <c r="D15" i="14"/>
  <c r="O14" i="14"/>
  <c r="D14" i="14"/>
  <c r="O13" i="14"/>
  <c r="D13" i="14"/>
  <c r="O12" i="14"/>
  <c r="D12" i="14"/>
  <c r="O11" i="14"/>
  <c r="D11" i="14"/>
  <c r="O10" i="14"/>
  <c r="D10" i="14"/>
  <c r="O9" i="14"/>
  <c r="D9" i="14"/>
  <c r="O8" i="14"/>
  <c r="D8" i="14"/>
  <c r="O7" i="14"/>
  <c r="D7" i="14"/>
  <c r="O6" i="14"/>
  <c r="D6" i="14"/>
  <c r="O5" i="14"/>
  <c r="D5" i="14"/>
  <c r="O4" i="14"/>
  <c r="D4" i="14"/>
  <c r="O3" i="14"/>
  <c r="D3" i="14"/>
  <c r="O2" i="14"/>
  <c r="D2" i="14"/>
  <c r="H38" i="13"/>
  <c r="D27" i="13"/>
  <c r="D26" i="13"/>
  <c r="D25" i="13"/>
  <c r="D24" i="13"/>
  <c r="D23" i="13"/>
  <c r="D22" i="13"/>
  <c r="D21" i="13"/>
  <c r="D20" i="13"/>
  <c r="D19" i="13"/>
  <c r="D18" i="13"/>
  <c r="D17" i="13"/>
  <c r="D16" i="13"/>
  <c r="D15" i="13"/>
  <c r="D14" i="13"/>
  <c r="D13" i="13"/>
  <c r="D12" i="13"/>
  <c r="D11" i="13"/>
  <c r="D10" i="13"/>
  <c r="D9" i="13"/>
  <c r="D8" i="13"/>
  <c r="D7" i="13"/>
  <c r="D6" i="13"/>
  <c r="D5" i="13"/>
  <c r="D4" i="13"/>
  <c r="D3" i="13"/>
  <c r="D2" i="13"/>
  <c r="H38" i="12"/>
  <c r="G38" i="12"/>
  <c r="F38" i="12"/>
  <c r="D27" i="12"/>
  <c r="D26" i="12"/>
  <c r="D25" i="12"/>
  <c r="D24" i="12"/>
  <c r="D23" i="12"/>
  <c r="D22" i="12"/>
  <c r="D21" i="12"/>
  <c r="D20" i="12"/>
  <c r="D19" i="12"/>
  <c r="D18" i="12"/>
  <c r="D17" i="12"/>
  <c r="D16" i="12"/>
  <c r="D15" i="12"/>
  <c r="D14" i="12"/>
  <c r="D13" i="12"/>
  <c r="D12" i="12"/>
  <c r="D11" i="12"/>
  <c r="D10" i="12"/>
  <c r="D9" i="12"/>
  <c r="D8" i="12"/>
  <c r="D7" i="12"/>
  <c r="D6" i="12"/>
  <c r="D5" i="12"/>
  <c r="D4" i="12"/>
  <c r="D3" i="12"/>
  <c r="D2" i="12"/>
  <c r="H38" i="11"/>
  <c r="D27" i="11"/>
  <c r="D26" i="11"/>
  <c r="D25" i="11"/>
  <c r="D24" i="11"/>
  <c r="D23" i="11"/>
  <c r="D22" i="11"/>
  <c r="D21" i="11"/>
  <c r="D20" i="11"/>
  <c r="D19" i="11"/>
  <c r="D18" i="11"/>
  <c r="D17" i="11"/>
  <c r="D16" i="11"/>
  <c r="D15" i="11"/>
  <c r="D14" i="11"/>
  <c r="D13" i="11"/>
  <c r="D12" i="11"/>
  <c r="D11" i="11"/>
  <c r="D10" i="11"/>
  <c r="D9" i="11"/>
  <c r="D8" i="11"/>
  <c r="D7" i="11"/>
  <c r="D6" i="11"/>
  <c r="D5" i="11"/>
  <c r="D4" i="11"/>
  <c r="D3" i="11"/>
  <c r="D2" i="11"/>
  <c r="H38" i="10"/>
  <c r="D27" i="10"/>
  <c r="D26" i="10"/>
  <c r="D25" i="10"/>
  <c r="D24" i="10"/>
  <c r="D23" i="10"/>
  <c r="D22" i="10"/>
  <c r="D21" i="10"/>
  <c r="D20" i="10"/>
  <c r="D19" i="10"/>
  <c r="D18" i="10"/>
  <c r="D17" i="10"/>
  <c r="D16" i="10"/>
  <c r="D15" i="10"/>
  <c r="D14" i="10"/>
  <c r="D13" i="10"/>
  <c r="D12" i="10"/>
  <c r="D11" i="10"/>
  <c r="D10" i="10"/>
  <c r="D9" i="10"/>
  <c r="D8" i="10"/>
  <c r="D7" i="10"/>
  <c r="D6" i="10"/>
  <c r="D5" i="10"/>
  <c r="D4" i="10"/>
  <c r="D3" i="10"/>
  <c r="D2" i="10"/>
  <c r="H38" i="9"/>
  <c r="D27" i="9"/>
  <c r="V26" i="9"/>
  <c r="R26" i="9"/>
  <c r="S26" i="9" s="1"/>
  <c r="T26" i="9" s="1"/>
  <c r="D26" i="9"/>
  <c r="V25" i="9"/>
  <c r="T25" i="9"/>
  <c r="R25" i="9"/>
  <c r="D25" i="9"/>
  <c r="V24" i="9"/>
  <c r="R24" i="9"/>
  <c r="D24" i="9"/>
  <c r="V23" i="9"/>
  <c r="R23" i="9"/>
  <c r="D23" i="9"/>
  <c r="V22" i="9"/>
  <c r="R22" i="9"/>
  <c r="D22" i="9"/>
  <c r="V21" i="9"/>
  <c r="R21" i="9"/>
  <c r="S21" i="9" s="1"/>
  <c r="T21" i="9" s="1"/>
  <c r="D21" i="9"/>
  <c r="V20" i="9"/>
  <c r="R20" i="9"/>
  <c r="D20" i="9"/>
  <c r="V19" i="9"/>
  <c r="R19" i="9"/>
  <c r="D19" i="9"/>
  <c r="V18" i="9"/>
  <c r="R18" i="9"/>
  <c r="D18" i="9"/>
  <c r="V17" i="9"/>
  <c r="R17" i="9"/>
  <c r="S17" i="9" s="1"/>
  <c r="T17" i="9" s="1"/>
  <c r="D17" i="9"/>
  <c r="V16" i="9"/>
  <c r="R16" i="9"/>
  <c r="S16" i="9" s="1"/>
  <c r="T16" i="9" s="1"/>
  <c r="D16" i="9"/>
  <c r="V15" i="9"/>
  <c r="R15" i="9"/>
  <c r="S15" i="9" s="1"/>
  <c r="T15" i="9" s="1"/>
  <c r="D15" i="9"/>
  <c r="R14" i="9"/>
  <c r="S14" i="9" s="1"/>
  <c r="T14" i="9" s="1"/>
  <c r="D14" i="9"/>
  <c r="V13" i="9"/>
  <c r="R13" i="9"/>
  <c r="D13" i="9"/>
  <c r="V12" i="9"/>
  <c r="R12" i="9"/>
  <c r="D12" i="9"/>
  <c r="V11" i="9"/>
  <c r="R11" i="9"/>
  <c r="D11" i="9"/>
  <c r="V10" i="9"/>
  <c r="R10" i="9"/>
  <c r="D10" i="9"/>
  <c r="V9" i="9"/>
  <c r="R9" i="9"/>
  <c r="D9" i="9"/>
  <c r="V8" i="9"/>
  <c r="R8" i="9"/>
  <c r="D8" i="9"/>
  <c r="V7" i="9"/>
  <c r="R7" i="9"/>
  <c r="D7" i="9"/>
  <c r="V6" i="9"/>
  <c r="R6" i="9"/>
  <c r="D6" i="9"/>
  <c r="V5" i="9"/>
  <c r="R5" i="9"/>
  <c r="S5" i="9" s="1"/>
  <c r="T5" i="9" s="1"/>
  <c r="D5" i="9"/>
  <c r="V4" i="9"/>
  <c r="R4" i="9"/>
  <c r="S4" i="9" s="1"/>
  <c r="T4" i="9" s="1"/>
  <c r="D4" i="9"/>
  <c r="V3" i="9"/>
  <c r="R3" i="9"/>
  <c r="D3" i="9"/>
  <c r="V2" i="9"/>
  <c r="R2" i="9"/>
  <c r="D2" i="9"/>
  <c r="H38" i="8"/>
  <c r="D27" i="8"/>
  <c r="R26" i="8"/>
  <c r="D26" i="8"/>
  <c r="R25" i="8"/>
  <c r="D25" i="8"/>
  <c r="R24" i="8"/>
  <c r="D24" i="8"/>
  <c r="R23" i="8"/>
  <c r="D23" i="8"/>
  <c r="R22" i="8"/>
  <c r="D22" i="8"/>
  <c r="R21" i="8"/>
  <c r="D21" i="8"/>
  <c r="R20" i="8"/>
  <c r="D20" i="8"/>
  <c r="R19" i="8"/>
  <c r="D19" i="8"/>
  <c r="R18" i="8"/>
  <c r="S18" i="9" s="1"/>
  <c r="T18" i="9" s="1"/>
  <c r="D18" i="8"/>
  <c r="R17" i="8"/>
  <c r="D17" i="8"/>
  <c r="R16" i="8"/>
  <c r="D16" i="8"/>
  <c r="R15" i="8"/>
  <c r="D15" i="8"/>
  <c r="R14" i="8"/>
  <c r="D14" i="8"/>
  <c r="R13" i="8"/>
  <c r="D13" i="8"/>
  <c r="R12" i="8"/>
  <c r="D12" i="8"/>
  <c r="R11" i="8"/>
  <c r="D11" i="8"/>
  <c r="R10" i="8"/>
  <c r="S10" i="9" s="1"/>
  <c r="T10" i="9" s="1"/>
  <c r="D10" i="8"/>
  <c r="R9" i="8"/>
  <c r="D9" i="8"/>
  <c r="R8" i="8"/>
  <c r="D8" i="8"/>
  <c r="R7" i="8"/>
  <c r="D7" i="8"/>
  <c r="R6" i="8"/>
  <c r="S6" i="9" s="1"/>
  <c r="T6" i="9" s="1"/>
  <c r="D6" i="8"/>
  <c r="R5" i="8"/>
  <c r="D5" i="8"/>
  <c r="R4" i="8"/>
  <c r="D4" i="8"/>
  <c r="R3" i="8"/>
  <c r="D3" i="8"/>
  <c r="R2" i="8"/>
  <c r="D2" i="8"/>
  <c r="H38" i="7"/>
  <c r="D27" i="7"/>
  <c r="D26" i="7"/>
  <c r="D25" i="7"/>
  <c r="D24" i="7"/>
  <c r="D23" i="7"/>
  <c r="D22" i="7"/>
  <c r="D21" i="7"/>
  <c r="D20" i="7"/>
  <c r="D19" i="7"/>
  <c r="D18" i="7"/>
  <c r="D17" i="7"/>
  <c r="D16" i="7"/>
  <c r="D15" i="7"/>
  <c r="D14" i="7"/>
  <c r="D13" i="7"/>
  <c r="D12" i="7"/>
  <c r="D11" i="7"/>
  <c r="D10" i="7"/>
  <c r="D9" i="7"/>
  <c r="D8" i="7"/>
  <c r="D7" i="7"/>
  <c r="D6" i="7"/>
  <c r="D5" i="7"/>
  <c r="D4" i="7"/>
  <c r="D3" i="7"/>
  <c r="D2" i="7"/>
  <c r="H38" i="6"/>
  <c r="F39" i="12" l="1"/>
  <c r="F40" i="12" s="1"/>
  <c r="S7" i="9"/>
  <c r="T7" i="9" s="1"/>
  <c r="S11" i="9"/>
  <c r="T11" i="9" s="1"/>
  <c r="S22" i="9"/>
  <c r="T22" i="9" s="1"/>
  <c r="S9" i="9"/>
  <c r="T9" i="9" s="1"/>
  <c r="S2" i="9"/>
  <c r="T2" i="9" s="1"/>
  <c r="S3" i="9"/>
  <c r="S19" i="9"/>
  <c r="T19" i="9" s="1"/>
  <c r="S12" i="9"/>
  <c r="T12" i="9" s="1"/>
  <c r="T3" i="9"/>
  <c r="S20" i="9"/>
  <c r="T20" i="9" s="1"/>
  <c r="S13" i="9"/>
  <c r="T13" i="9" s="1"/>
  <c r="T38" i="9"/>
  <c r="S8" i="9"/>
  <c r="T8" i="9" s="1"/>
  <c r="S23" i="9"/>
  <c r="T23" i="9" s="1"/>
  <c r="S24" i="9"/>
  <c r="T24" i="9" s="1"/>
  <c r="S38" i="9" l="1"/>
</calcChain>
</file>

<file path=xl/sharedStrings.xml><?xml version="1.0" encoding="utf-8"?>
<sst xmlns="http://schemas.openxmlformats.org/spreadsheetml/2006/main" count="941" uniqueCount="182">
  <si>
    <t>Tank Factor</t>
  </si>
  <si>
    <t>ANITA 1-12H</t>
  </si>
  <si>
    <t>ANITA 1-13H</t>
  </si>
  <si>
    <t>ARIANA 1-18H</t>
  </si>
  <si>
    <t>ARIANA 1-7H</t>
  </si>
  <si>
    <t>BIRD 3319 1-6</t>
  </si>
  <si>
    <t>BIRD 3319 3-6</t>
  </si>
  <si>
    <t>BROTHERS 1-6H</t>
  </si>
  <si>
    <t>BROTHERS 2-6H</t>
  </si>
  <si>
    <t>CLAY 1-6H</t>
  </si>
  <si>
    <t>ELLIS 2-19H</t>
  </si>
  <si>
    <t>GABRIEL 1-12H</t>
  </si>
  <si>
    <t>GABRIEL 2-12H</t>
  </si>
  <si>
    <t>GARLAND 1-26H</t>
  </si>
  <si>
    <t>JELLISON A 11-5</t>
  </si>
  <si>
    <t>PEPPER 3-4H</t>
  </si>
  <si>
    <t>PEPPER 4-4H</t>
  </si>
  <si>
    <t>PTL 1-15H</t>
  </si>
  <si>
    <t>RALPH BAKER 1</t>
  </si>
  <si>
    <t>ROCK 3319 1-16H</t>
  </si>
  <si>
    <t>SALLY 1-12H</t>
  </si>
  <si>
    <t>SARAH 1-34H</t>
  </si>
  <si>
    <t>SARAH 2-34H</t>
  </si>
  <si>
    <t>SEAN 1-18H</t>
  </si>
  <si>
    <t>SEAN 3119 3-18H</t>
  </si>
  <si>
    <t>WANDA 1-2H 1L</t>
  </si>
  <si>
    <t>Dixie 3120 1‐25 SWD</t>
  </si>
  <si>
    <t>Yankee 3317 1-27 SWD</t>
  </si>
  <si>
    <t>Salt 3419 1-4 SWD</t>
  </si>
  <si>
    <t>Date</t>
  </si>
  <si>
    <t>Oil Feet</t>
  </si>
  <si>
    <t>Oil Inches</t>
  </si>
  <si>
    <t>Tubing Pressure (psi)</t>
  </si>
  <si>
    <t>Casing Pressure (psi)</t>
  </si>
  <si>
    <t>Line Pressure (psi)</t>
  </si>
  <si>
    <t>Comments/Issues</t>
  </si>
  <si>
    <t>Well Name</t>
  </si>
  <si>
    <t>Time</t>
  </si>
  <si>
    <t>Instant Gas Rate</t>
  </si>
  <si>
    <t>Running</t>
  </si>
  <si>
    <t>Running, oil ticket picked up, rejected</t>
  </si>
  <si>
    <t>CDP 50</t>
  </si>
  <si>
    <t>Down, reset, running, texted Ron</t>
  </si>
  <si>
    <t>5610222, Running</t>
  </si>
  <si>
    <t>Running, oil ticket</t>
  </si>
  <si>
    <t>Running CDP 46</t>
  </si>
  <si>
    <t>Pumping unit extremely misaligned, packing leaking bad, E-POT full, drained</t>
  </si>
  <si>
    <t>Total Inches</t>
  </si>
  <si>
    <t>Running, belt blew off, down</t>
  </si>
  <si>
    <t>Running CDP 47</t>
  </si>
  <si>
    <t>Down, E-POT, running</t>
  </si>
  <si>
    <t>Pumping unit down, E-POT full of water and oil, started pumping unit</t>
  </si>
  <si>
    <t>OnPing shows Sarah 1 at 3' 11".  Ron gauged at 4' 1"</t>
  </si>
  <si>
    <t>OnPing shows Sarah 2 at 4' 1".  Ron gauged at 4' 11.5"</t>
  </si>
  <si>
    <t>157 intake psi, 170.6 temp, 682 hz</t>
  </si>
  <si>
    <t>New Inches of Oil</t>
  </si>
  <si>
    <t>New BO</t>
  </si>
  <si>
    <t>Gas Difference</t>
  </si>
  <si>
    <t>Running.  No chemical</t>
  </si>
  <si>
    <t>Running. 1/4 yellow, 0 white</t>
  </si>
  <si>
    <t>Running. Full white, 0 yellow</t>
  </si>
  <si>
    <t>Belts off, no chemical</t>
  </si>
  <si>
    <t>Running. No chemical</t>
  </si>
  <si>
    <t>Running. 0 yellow, 3/4 white</t>
  </si>
  <si>
    <t>Running. CDP 46</t>
  </si>
  <si>
    <t>Running.  1/2 chemical</t>
  </si>
  <si>
    <t>Running, 1/4 chemical</t>
  </si>
  <si>
    <t>Installed gas jack compressor to perform well test.  Got running at noon.</t>
  </si>
  <si>
    <t>Running, drained E-POT</t>
  </si>
  <si>
    <t>Running. Intake psi 156.1, temp 168.2, 67 hz</t>
  </si>
  <si>
    <t>Down, reset, running</t>
  </si>
  <si>
    <t>CDP 44</t>
  </si>
  <si>
    <t>Unit down since 1 am, stuffing box corroded and leaked into EPOT which shut pumping unit down, well loaded up and compressor went down shortly after due to no casing gas, cleaned up mess, had a crew meet on location to lay down polish rod liner and remove stuffing box, replaced stuffing box and EPOT, started pumping unit, producing good fluid but still no casing gas, may take a day or two to unload well and return compressor to production.</t>
  </si>
  <si>
    <t>Down, EPOT, started</t>
  </si>
  <si>
    <t>Intake 128.1, Temp 219.9, Volts out 455, 62.1 hz</t>
  </si>
  <si>
    <t>Intake 158, Temp 170, 68 hz</t>
  </si>
  <si>
    <t>Open to sales.  No casing gas</t>
  </si>
  <si>
    <t>Lohrding 1</t>
  </si>
  <si>
    <t>Truck broke down, unit is down and did not have start handle.  Will start tomorrow</t>
  </si>
  <si>
    <t>Down, need Ron.  Ron went to well, found bad load cell cable, unit in hand, will order cable and replace.  Ron left unit running.</t>
  </si>
  <si>
    <t>Running. CDP 45</t>
  </si>
  <si>
    <t>Down, water pump leak, Ron is on it.  Ron found fittings from Roger, repaired pump, started pumping unit, running.</t>
  </si>
  <si>
    <t>Compressor running at 8 am, pulling casing down, producing fluid and gas, hopefully will run for 24 hours to get a good feel for what the well is going to do.</t>
  </si>
  <si>
    <t>Down, start, EPOT</t>
  </si>
  <si>
    <t>Gas lift well, flowing to show production only</t>
  </si>
  <si>
    <t>Engine down, will start tomorrow.</t>
  </si>
  <si>
    <t>Running on hand</t>
  </si>
  <si>
    <t>Down, not pumping, traveling valve stuck, no pump action, Jaime and Ron loaded tubing from Pepper 3, left unit running, building some fluid load then losing fluid load, will continue to check, put pump on tag and will let run through the night.</t>
  </si>
  <si>
    <t>CDP 47</t>
  </si>
  <si>
    <t>Down, Hisep, reset, running</t>
  </si>
  <si>
    <t>Compressor ran all night, producing a ton of water, making good oil, happy with results</t>
  </si>
  <si>
    <t>Down, EPOT, start</t>
  </si>
  <si>
    <t>Well is shut in, will let casing pressure build and sell gas at later date.</t>
  </si>
  <si>
    <t>Unit down on arrival.  Cleared alarm and returned to production.</t>
  </si>
  <si>
    <t>Well down when Jaime got to location, cleared alarm and started back up.  Unknown reason for alarm</t>
  </si>
  <si>
    <t>Well down when Jaime got to location.  Cleared alarm, ESP started back up.  Don't know reason for alarm.  According to drive well shut down on 11/28/25 at 1328 hours</t>
  </si>
  <si>
    <t>Now that Pepper 4 is down, expect to see increease in gas rate at Pepper 3</t>
  </si>
  <si>
    <t>No pump action, SI at 7:30 am</t>
  </si>
  <si>
    <t>Ron to start at lower hz tomorrow, necessary to keep Jellison 1-5, Bird 1-6 and Bird 3-6 (plunger well) running</t>
  </si>
  <si>
    <t>Well down, cleared alarm, returned to production</t>
  </si>
  <si>
    <t>Secondary pump fillage</t>
  </si>
  <si>
    <t>Down, stuffing box packing</t>
  </si>
  <si>
    <t>Down on arrival, PLC kill</t>
  </si>
  <si>
    <t>Down on arrival, power.</t>
  </si>
  <si>
    <t>Down, building casing psi to avoid having to P&amp;A well.</t>
  </si>
  <si>
    <t>Well is down.  Break is on.  Looks like it's been down a while.  Need to figure out what is going on with this well.</t>
  </si>
  <si>
    <t>Shut off until water is hauled</t>
  </si>
  <si>
    <t>Down, start, high tank</t>
  </si>
  <si>
    <t>CDP 33</t>
  </si>
  <si>
    <t>Running like a champ, made a ton of oil last night</t>
  </si>
  <si>
    <t>Running good, full pump</t>
  </si>
  <si>
    <t>Running good</t>
  </si>
  <si>
    <t>Running good.</t>
  </si>
  <si>
    <t>Down, EPOT, Start</t>
  </si>
  <si>
    <t>Casing shut in, letting well build pressure</t>
  </si>
  <si>
    <t>Power failure due to high winds.  Powerlines touch causing a short, knocking down multiple locations.  This affects the Ariana 1-7, Ariana 1-18, Sally 1-12, Clay 1-6, Pepper 3 &amp; 4, and the Rock,</t>
  </si>
  <si>
    <t>Down, water tank full, waiting for water hauler</t>
  </si>
  <si>
    <t xml:space="preserve">Running. CDP 40 </t>
  </si>
  <si>
    <t>Running.  5630394</t>
  </si>
  <si>
    <t>Running.  Switched to Tank 2, lots of water in oil.</t>
  </si>
  <si>
    <t>Down, Epot, start, hooked up hose from Epot to barrel, 30 gallons into barrel</t>
  </si>
  <si>
    <t>Running.  7761816</t>
  </si>
  <si>
    <t>Down, start</t>
  </si>
  <si>
    <t>Down, Start, Hisep.  Kenny found unit hisep, lost gas supply, causing unit to go down on high level</t>
  </si>
  <si>
    <t>Down</t>
  </si>
  <si>
    <t>Down on high tank level.  Cleared alarm and put back online.</t>
  </si>
  <si>
    <t>Running.  CDP 40</t>
  </si>
  <si>
    <t>ESP, shut in.</t>
  </si>
  <si>
    <t>Pumping ok, mechanic working on gas jack-ice plug</t>
  </si>
  <si>
    <t>Down on arrival, Epot overfilled, replaced stuffing box, replaced rod rotator, aligned pumping unit to flow tee, started unit</t>
  </si>
  <si>
    <t>Intake 140, motor temp 215, running at 62 hz, running on arrival</t>
  </si>
  <si>
    <t>Pump intake 154, motor temp 169, frequency 68 hz, running on arrival</t>
  </si>
  <si>
    <t>Casing shut in, building pressure</t>
  </si>
  <si>
    <t>Display is bad, needs replaced.   560366.1</t>
  </si>
  <si>
    <t>Kenny said the casing psi was 100, causing well to pump off.  Opened casing, bled down to 70 psi, card filled up.  Lit heater treater.  Thinks BPU is slapping and needs replaced.  Suggests balance unit while belt is replaced. Ron arrived later and unit was down on high sep. Installed test gauge into vertical separate and heater treater, found current gauges were off.  Vertical seperator and heater treater were trying ot operate at same pressure.  The vertical separator is now set at 24 psi and the heater treater is set at 15 psi.  Now the fluid from the vertical separator can dump into the heater treater and function correctly.  Lit burner on treater and well is performing correctly.</t>
  </si>
  <si>
    <t>Down, Epot, start</t>
  </si>
  <si>
    <t>CDP 40</t>
  </si>
  <si>
    <t>Down, start, Epot, running</t>
  </si>
  <si>
    <t>Running.  Emerson showing flowrate of 0.000</t>
  </si>
  <si>
    <t>Engine is down.  Seat on carburetor is wore out causing it to run rich and backfire.  Ron getting new carburetor.</t>
  </si>
  <si>
    <t>Anita 1-12H</t>
  </si>
  <si>
    <t>ESP, down until further notice</t>
  </si>
  <si>
    <t>Down per Jaime H.</t>
  </si>
  <si>
    <t>CDP 42.  Ron working on.</t>
  </si>
  <si>
    <t>Running.  Approx. 4' water in tank in oil tank</t>
  </si>
  <si>
    <t>Running.  Not showing water in oil tank</t>
  </si>
  <si>
    <t>Running.  Not showing water in oil tank. Emerson showing flowrate of 0.000</t>
  </si>
  <si>
    <t>CDP 18</t>
  </si>
  <si>
    <t>Down, start, Epot</t>
  </si>
  <si>
    <t>Down, water pump, called Ron</t>
  </si>
  <si>
    <t>Down on overload lock, start.  Ron drove to unit.  It was running on arrival.  Motor amps and motor temp looked normal.  Thinking we had an intermittent gas bubble and unloaded then loaded the motor causing an overload shutdown.  Will continue to monitor.</t>
  </si>
  <si>
    <t>CDP 25.  Arrived on location at 8:00 am.  Plunger cycled all night at 50 minutes down time and 10 seconds afterflow.  Unit ran consecutive trips without missing any arrivals.  Emerson meter shows Bird 3 produced 29.1 mcf yesterday in about 12 hours of run time.  Will continue to optimize well and increase gas rate a little every day.</t>
  </si>
  <si>
    <t>Running per Andrew.  However, after completing Andrew's gauge log, Jaime W. noticed the gas rate was low at the unit.  Ron and I drove to the location at 6:30 pm and found the compressor had been down for a day and a half.  Ron tried to start the compressor several times.  Did not have any fire.  Called out 7 Compression mechanic.  Will get running tomorrow.</t>
  </si>
  <si>
    <t>Running per Andrew.  After leaving the Ariana 1-7, Ron noticed the Sally pumping unit not running.  Checked LWM controller and pumping unit had been down since 12/5 at 10:02 am.  Pumping unit was down on loss of RPM signal.  Ron noticed the hal/effecct pickup was not properly attached to the electric motor causing unit to shut down on loss of RPM signal.  Ron adjusted pickup to correct position and returned unit to production.  Ron notified Andrew that the unit had been down and Andrew thought it was not pumping because it was in secondary pump off.</t>
  </si>
  <si>
    <t>Running, called Dalen</t>
  </si>
  <si>
    <t>Running.  Emerson shows 0.00 for all numbers.  Total flow in sleep mode.  Per Ron, total flow batteries are dead.  Went to sleep mode.  Will contact Cody tomorrow to get him out to repair.  This meter belongs to them and we are not allowed to touch it.  It is still counting gas rate, just not visible to us to conserve what backup battery energy it has for next 10 days.</t>
  </si>
  <si>
    <t>CDP 53</t>
  </si>
  <si>
    <t>Down, reset, no idea why, started, called Ron.  Per Ron, needs LWM display replaced.  Will check with Dalen to order one.</t>
  </si>
  <si>
    <t>Compressor was started today, production should make up for yesterdays loss tonight and show good gains tomorrow.</t>
  </si>
  <si>
    <t>Down on motor temp, wait restart, call Ron, should kick on at 12:20 pm.  Per Ron, Pump is not surfacing much water.  ESP is on its way out</t>
  </si>
  <si>
    <t>Calling propane company tomorrow.  Well is not giving up enough gas to run the gas engine.</t>
  </si>
  <si>
    <t>Running.  CDP 57</t>
  </si>
  <si>
    <t>Down, reset, Running</t>
  </si>
  <si>
    <t>Running.  Tank 1 is full, tank 2 is full of water and oil  per Andrew, switched to tank 3</t>
  </si>
  <si>
    <t>Down on secondary pumpoff.  Unit started on its own before I left location.  Andrew showed 2' 1" on Saturday.  I measured this tank 3 times and came up with 1' 11" each time.</t>
  </si>
  <si>
    <t>Running. Epot lid on the ground.  Casing psi is too high.  Pumping unit going into pump off too often.  Andrew showed 5' 3" on Saturday.  I measured this tank 3 times and came up with 4' 10" each time.</t>
  </si>
  <si>
    <t>Running, 60. hz, Int 156.4</t>
  </si>
  <si>
    <t>Running, 68.4 hz, int 147.5</t>
  </si>
  <si>
    <t>Well down.  Ron blowing casing to meter run.</t>
  </si>
  <si>
    <t>Down, PLC kill, no kills, reset, Running</t>
  </si>
  <si>
    <t>CDP 62</t>
  </si>
  <si>
    <t>Running (mud dauber nests in meter house)</t>
  </si>
  <si>
    <t>Running.  Trapper pot full of water, drained.</t>
  </si>
  <si>
    <t>Down on secondary pump off.  No handle on trapper pot so I couldn't drain.  Called Ron and let him know.</t>
  </si>
  <si>
    <t>ESP display is hard to read, says "No card detected"</t>
  </si>
  <si>
    <t>Tank</t>
  </si>
  <si>
    <t>Oil (ft)</t>
  </si>
  <si>
    <t>Oil (in)</t>
  </si>
  <si>
    <t>Gas Rate</t>
  </si>
  <si>
    <t>MURPHY 1-7H</t>
  </si>
  <si>
    <t>JELLISON 3119</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</si>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</sst>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h&quot;:&quot;mm&quot; &quot;AM/PM"/>
  </numFmts>
  <fonts count="9">
    <font>
      <sz val="10"/>
      <color rgb="FF000000"/>
      <name val="Arial"/>
      <scheme val="minor"/>
    </font>
    <font>
      <sz val="10"/>
      <color theme="1"/>
      <name val="Arial"/>
      <scheme val="minor"/>
    </font>
    <font>
      <sz val="10"/>
      <color theme="1"/>
      <name val="Arial"/>
      <scheme val="minor"/>
    </font>
    <font>
      <sz val="10"/>
      <color theme="1"/>
      <name val="Arial"/>
    </font>
    <font>
      <sz val="10"/>
      <color rgb="FF0000FF"/>
      <name val="Arial"/>
    </font>
    <font>
      <b/>
      <sz val="10"/>
      <color theme="1"/>
      <name val="Arial"/>
    </font>
    <font>
      <sz val="10"/>
      <name val="Arial"/>
    </font>
    <font>
      <sz val="10"/>
      <color rgb="FFFF0000"/>
      <name val="Arial"/>
    </font>
    <font>
      <sz val="10"/>
      <color theme="1"/>
      <name val="&quot;Aptos Narrow&quot;"/>
    </font>
  </fonts>
  <fills count="5">
    <fill>
      <patternFill patternType="none"/>
    </fill>
    <fill>
      <patternFill patternType="gray125"/>
    </fill>
    <fill>
      <patternFill patternType="solid">
        <fgColor rgb="FFFFFFFF"/>
        <bgColor rgb="FFFFFFFF"/>
      </patternFill>
    </fill>
    <fill>
      <patternFill patternType="solid">
        <fgColor rgb="FFF9CB9C"/>
        <bgColor rgb="FFF9CB9C"/>
      </patternFill>
    </fill>
    <fill>
      <patternFill patternType="solid">
        <fgColor rgb="FFFCE5CD"/>
        <bgColor rgb="FFFCE5CD"/>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51">
    <xf numFmtId="0" fontId="0" fillId="0" borderId="0" xfId="0"/>
    <xf numFmtId="0" fontId="1" fillId="0" borderId="0" xfId="0" applyFont="1"/>
    <xf numFmtId="0" fontId="2" fillId="0" borderId="0" xfId="0" applyFont="1"/>
    <xf numFmtId="14" fontId="1" fillId="0" borderId="0" xfId="0" applyNumberFormat="1" applyFont="1"/>
    <xf numFmtId="0" fontId="3" fillId="0" borderId="0" xfId="0" applyFont="1"/>
    <xf numFmtId="0" fontId="3" fillId="0" borderId="1" xfId="0" applyFont="1" applyBorder="1" applyAlignment="1">
      <alignment horizontal="center" wrapText="1"/>
    </xf>
    <xf numFmtId="14" fontId="3" fillId="0" borderId="0" xfId="0" applyNumberFormat="1" applyFont="1" applyAlignment="1">
      <alignment horizontal="center"/>
    </xf>
    <xf numFmtId="0" fontId="3" fillId="0" borderId="0" xfId="0" applyFont="1" applyAlignment="1">
      <alignment horizontal="right"/>
    </xf>
    <xf numFmtId="0" fontId="5" fillId="0" borderId="1" xfId="0" applyFont="1" applyBorder="1" applyAlignment="1">
      <alignment horizontal="center"/>
    </xf>
    <xf numFmtId="0" fontId="3" fillId="0" borderId="1" xfId="0" applyFont="1" applyBorder="1" applyAlignment="1">
      <alignment horizontal="left"/>
    </xf>
    <xf numFmtId="0" fontId="1" fillId="0" borderId="0" xfId="0" applyFont="1" applyAlignment="1">
      <alignment horizontal="left"/>
    </xf>
    <xf numFmtId="0" fontId="3" fillId="0" borderId="0" xfId="0" applyFont="1" applyAlignment="1">
      <alignment horizontal="center"/>
    </xf>
    <xf numFmtId="14" fontId="5" fillId="0" borderId="1" xfId="0" applyNumberFormat="1" applyFont="1" applyBorder="1" applyAlignment="1">
      <alignment horizontal="center"/>
    </xf>
    <xf numFmtId="0" fontId="5" fillId="0" borderId="1" xfId="0" applyFont="1" applyBorder="1" applyAlignment="1">
      <alignment horizontal="center" wrapText="1"/>
    </xf>
    <xf numFmtId="0" fontId="5" fillId="0" borderId="1" xfId="0" applyFont="1" applyBorder="1"/>
    <xf numFmtId="14" fontId="3" fillId="0" borderId="1" xfId="0" applyNumberFormat="1" applyFont="1" applyBorder="1" applyAlignment="1">
      <alignment horizontal="center"/>
    </xf>
    <xf numFmtId="18" fontId="3" fillId="0" borderId="1" xfId="0" applyNumberFormat="1" applyFont="1" applyBorder="1" applyAlignment="1">
      <alignment horizontal="center"/>
    </xf>
    <xf numFmtId="0" fontId="4" fillId="0" borderId="1" xfId="0" applyFont="1" applyBorder="1" applyAlignment="1">
      <alignment horizontal="center"/>
    </xf>
    <xf numFmtId="0" fontId="3" fillId="0" borderId="1" xfId="0" applyFont="1" applyBorder="1" applyAlignment="1">
      <alignment horizontal="center"/>
    </xf>
    <xf numFmtId="0" fontId="3" fillId="0" borderId="1" xfId="0" applyFont="1" applyBorder="1"/>
    <xf numFmtId="0" fontId="3" fillId="0" borderId="0" xfId="0" applyFont="1" applyAlignment="1">
      <alignment horizontal="right" vertical="center"/>
    </xf>
    <xf numFmtId="18" fontId="3" fillId="0" borderId="1" xfId="0" applyNumberFormat="1" applyFont="1" applyBorder="1" applyAlignment="1">
      <alignment horizontal="center" vertical="center"/>
    </xf>
    <xf numFmtId="0" fontId="4" fillId="0" borderId="1" xfId="0" applyFont="1" applyBorder="1"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0" fontId="3" fillId="0" borderId="1" xfId="0" applyFont="1" applyBorder="1" applyAlignment="1">
      <alignment vertical="center"/>
    </xf>
    <xf numFmtId="0" fontId="3" fillId="0" borderId="0" xfId="0" applyFont="1" applyAlignment="1">
      <alignment vertical="center"/>
    </xf>
    <xf numFmtId="0" fontId="3" fillId="0" borderId="1" xfId="0" applyFont="1" applyBorder="1" applyAlignment="1">
      <alignment vertical="center" wrapText="1"/>
    </xf>
    <xf numFmtId="0" fontId="3" fillId="0" borderId="1" xfId="0" applyFont="1" applyBorder="1" applyAlignment="1">
      <alignment wrapText="1"/>
    </xf>
    <xf numFmtId="20" fontId="3" fillId="0" borderId="1" xfId="0" applyNumberFormat="1" applyFont="1" applyBorder="1" applyAlignment="1">
      <alignment horizontal="center"/>
    </xf>
    <xf numFmtId="0" fontId="5" fillId="0" borderId="0" xfId="0" applyFont="1" applyAlignment="1">
      <alignment horizontal="center"/>
    </xf>
    <xf numFmtId="18" fontId="3" fillId="0" borderId="1" xfId="0" applyNumberFormat="1" applyFont="1" applyBorder="1"/>
    <xf numFmtId="0" fontId="7" fillId="0" borderId="0" xfId="0" applyFont="1" applyAlignment="1">
      <alignment vertical="center"/>
    </xf>
    <xf numFmtId="14" fontId="3" fillId="0" borderId="1" xfId="0" applyNumberFormat="1" applyFont="1" applyBorder="1" applyAlignment="1">
      <alignment horizontal="center" vertical="center"/>
    </xf>
    <xf numFmtId="0" fontId="1" fillId="0" borderId="0" xfId="0" applyFont="1" applyAlignment="1">
      <alignment vertical="center"/>
    </xf>
    <xf numFmtId="164" fontId="3" fillId="0" borderId="1" xfId="0" applyNumberFormat="1" applyFont="1" applyBorder="1" applyAlignment="1">
      <alignment horizontal="center"/>
    </xf>
    <xf numFmtId="0" fontId="1" fillId="0" borderId="1" xfId="0" applyFont="1" applyBorder="1"/>
    <xf numFmtId="0" fontId="8" fillId="2" borderId="0" xfId="0" applyFont="1" applyFill="1" applyAlignment="1">
      <alignment horizontal="center"/>
    </xf>
    <xf numFmtId="0" fontId="1" fillId="0" borderId="0" xfId="0" applyFont="1" applyAlignment="1">
      <alignment horizontal="center"/>
    </xf>
    <xf numFmtId="0" fontId="3" fillId="3" borderId="1" xfId="0" applyFont="1" applyFill="1" applyBorder="1" applyAlignment="1">
      <alignment horizontal="center"/>
    </xf>
    <xf numFmtId="0" fontId="3" fillId="4" borderId="1" xfId="0" applyFont="1" applyFill="1" applyBorder="1" applyAlignment="1">
      <alignment horizontal="center"/>
    </xf>
    <xf numFmtId="14" fontId="5" fillId="0" borderId="0" xfId="0" applyNumberFormat="1" applyFont="1" applyAlignment="1">
      <alignment horizontal="center" vertical="center"/>
    </xf>
    <xf numFmtId="14" fontId="5" fillId="0" borderId="1" xfId="0" applyNumberFormat="1" applyFont="1" applyBorder="1" applyAlignment="1">
      <alignment horizontal="center" vertical="center"/>
    </xf>
    <xf numFmtId="0" fontId="5" fillId="0" borderId="1" xfId="0" applyFont="1" applyBorder="1" applyAlignment="1">
      <alignment horizontal="center" vertical="center"/>
    </xf>
    <xf numFmtId="0" fontId="5" fillId="0" borderId="1" xfId="0" applyFont="1" applyBorder="1" applyAlignment="1">
      <alignment horizontal="left"/>
    </xf>
    <xf numFmtId="0" fontId="3" fillId="0" borderId="1" xfId="0" applyFont="1" applyBorder="1" applyAlignment="1">
      <alignment horizontal="left" wrapText="1"/>
    </xf>
    <xf numFmtId="0" fontId="3" fillId="0" borderId="1" xfId="0" applyFont="1" applyBorder="1" applyAlignment="1">
      <alignment horizontal="left" vertical="center" wrapText="1"/>
    </xf>
    <xf numFmtId="164" fontId="3" fillId="0" borderId="1" xfId="0" applyNumberFormat="1" applyFont="1" applyBorder="1" applyAlignment="1">
      <alignment horizontal="center" vertical="center"/>
    </xf>
    <xf numFmtId="14" fontId="1" fillId="0" borderId="0" xfId="0" applyNumberFormat="1" applyFont="1" applyAlignment="1">
      <alignment vertical="center"/>
    </xf>
    <xf numFmtId="0" fontId="3" fillId="0" borderId="2" xfId="0" applyFont="1" applyBorder="1" applyAlignment="1">
      <alignment horizontal="center" wrapText="1"/>
    </xf>
    <xf numFmtId="0" fontId="6" fillId="0" borderId="3"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8" Type="http://schemas.openxmlformats.org/officeDocument/2006/relationships/theme" Target="theme/theme1.xml"/><Relationship Id="rId10" Type="http://schemas.openxmlformats.org/officeDocument/2006/relationships/worksheet" Target="worksheets/sheet10.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7" Type="http://customschemas.google.com/relationships/workbookmetadata" Target="metadata"/><Relationship Id="rId30"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pageSetUpPr fitToPage="1"/>
  </sheetPr>
  <dimension ref="A1:AA999"/>
  <sheetViews>
    <sheetView workbookViewId="0">
      <pane ySplit="1" topLeftCell="A15" activePane="bottomLeft" state="frozen"/>
      <selection pane="bottomLeft" sqref="A1:XFD1"/>
    </sheetView>
  </sheetViews>
  <sheetFormatPr defaultColWidth="12.609375" defaultRowHeight="15" customHeight="1"/>
  <cols>
    <col min="1" max="1" width="3.609375" customWidth="1"/>
    <col min="2" max="3" width="12.609375" customWidth="1"/>
    <col min="4" max="4" width="18.38671875" customWidth="1"/>
    <col min="5" max="5" width="15.71875" customWidth="1"/>
    <col min="6" max="8" width="15.38671875" customWidth="1"/>
    <col min="13" max="13" width="40.88671875" customWidth="1"/>
  </cols>
  <sheetData>
    <row r="1" spans="1:27" ht="15.75" customHeight="1">
      <c r="A1" s="4"/>
      <c r="B1" s="12" t="s">
        <v>29</v>
      </c>
      <c r="C1" s="8" t="s">
        <v>37</v>
      </c>
      <c r="D1" s="8" t="s">
        <v>36</v>
      </c>
      <c r="E1" s="13" t="s">
        <v>175</v>
      </c>
      <c r="F1" s="8" t="s">
        <v>176</v>
      </c>
      <c r="G1" s="13" t="s">
        <v>177</v>
      </c>
      <c r="H1" s="13" t="s">
        <v>178</v>
      </c>
      <c r="I1" s="13" t="s">
        <v>38</v>
      </c>
      <c r="J1" s="13" t="s">
        <v>32</v>
      </c>
      <c r="K1" s="13" t="s">
        <v>33</v>
      </c>
      <c r="L1" s="13" t="s">
        <v>34</v>
      </c>
      <c r="M1" s="14" t="s">
        <v>35</v>
      </c>
    </row>
    <row r="2" spans="1:27" ht="15.75" customHeight="1">
      <c r="A2" s="7">
        <v>1</v>
      </c>
      <c r="B2" s="15">
        <v>45983</v>
      </c>
      <c r="C2" s="16">
        <v>0.41666666666666669</v>
      </c>
      <c r="D2" s="17" t="s">
        <v>18</v>
      </c>
      <c r="E2" s="18"/>
      <c r="F2" s="18">
        <v>3</v>
      </c>
      <c r="G2" s="18">
        <v>10</v>
      </c>
      <c r="H2" s="18">
        <v>24</v>
      </c>
      <c r="I2" s="18">
        <v>27</v>
      </c>
      <c r="J2" s="18">
        <v>120</v>
      </c>
      <c r="K2" s="18"/>
      <c r="L2" s="18">
        <v>38</v>
      </c>
      <c r="M2" s="19" t="s">
        <v>39</v>
      </c>
    </row>
    <row r="3" spans="1:27" ht="15.75" customHeight="1">
      <c r="A3" s="20">
        <v>2</v>
      </c>
      <c r="B3" s="15">
        <v>45983</v>
      </c>
      <c r="C3" s="21"/>
      <c r="D3" s="22" t="s">
        <v>20</v>
      </c>
      <c r="E3" s="23"/>
      <c r="F3" s="24">
        <v>2</v>
      </c>
      <c r="G3" s="24">
        <v>6</v>
      </c>
      <c r="H3" s="24">
        <v>174</v>
      </c>
      <c r="I3" s="24">
        <v>180</v>
      </c>
      <c r="J3" s="24">
        <v>150</v>
      </c>
      <c r="K3" s="24">
        <v>30</v>
      </c>
      <c r="L3" s="24">
        <v>36</v>
      </c>
      <c r="M3" s="25" t="s">
        <v>39</v>
      </c>
      <c r="O3" s="26"/>
      <c r="P3" s="26"/>
      <c r="Q3" s="26"/>
      <c r="R3" s="26"/>
      <c r="S3" s="26"/>
      <c r="T3" s="26"/>
      <c r="U3" s="26"/>
      <c r="V3" s="26"/>
      <c r="W3" s="26"/>
      <c r="X3" s="26"/>
      <c r="Y3" s="26"/>
      <c r="Z3" s="26"/>
      <c r="AA3" s="26"/>
    </row>
    <row r="4" spans="1:27" ht="15.75" customHeight="1">
      <c r="A4" s="20">
        <v>3</v>
      </c>
      <c r="B4" s="15">
        <v>45983</v>
      </c>
      <c r="C4" s="21"/>
      <c r="D4" s="22" t="s">
        <v>2</v>
      </c>
      <c r="E4" s="24"/>
      <c r="F4" s="24">
        <v>1</v>
      </c>
      <c r="G4" s="24">
        <v>0</v>
      </c>
      <c r="H4" s="24">
        <v>33</v>
      </c>
      <c r="I4" s="24">
        <v>104</v>
      </c>
      <c r="J4" s="24">
        <v>200</v>
      </c>
      <c r="K4" s="24">
        <v>50</v>
      </c>
      <c r="L4" s="24">
        <v>44</v>
      </c>
      <c r="M4" s="27" t="s">
        <v>40</v>
      </c>
      <c r="O4" s="26"/>
      <c r="P4" s="26"/>
      <c r="Q4" s="26"/>
      <c r="R4" s="26"/>
      <c r="S4" s="26"/>
      <c r="T4" s="26"/>
      <c r="U4" s="26"/>
      <c r="V4" s="26"/>
      <c r="W4" s="26"/>
      <c r="X4" s="26"/>
      <c r="Y4" s="26"/>
      <c r="Z4" s="26"/>
      <c r="AA4" s="26"/>
    </row>
    <row r="5" spans="1:27" ht="15.75" customHeight="1">
      <c r="A5" s="7">
        <v>4</v>
      </c>
      <c r="B5" s="15">
        <v>45983</v>
      </c>
      <c r="C5" s="16"/>
      <c r="D5" s="17" t="s">
        <v>3</v>
      </c>
      <c r="E5" s="18"/>
      <c r="F5" s="18">
        <v>2</v>
      </c>
      <c r="G5" s="18">
        <v>2</v>
      </c>
      <c r="H5" s="18">
        <v>127</v>
      </c>
      <c r="I5" s="18">
        <v>107</v>
      </c>
      <c r="J5" s="18">
        <v>150</v>
      </c>
      <c r="K5" s="18">
        <v>20</v>
      </c>
      <c r="L5" s="18">
        <v>42</v>
      </c>
      <c r="M5" s="19" t="s">
        <v>39</v>
      </c>
    </row>
    <row r="6" spans="1:27" ht="15.75" customHeight="1">
      <c r="A6" s="7">
        <v>5</v>
      </c>
      <c r="B6" s="15">
        <v>45983</v>
      </c>
      <c r="C6" s="16"/>
      <c r="D6" s="17" t="s">
        <v>9</v>
      </c>
      <c r="E6" s="18"/>
      <c r="F6" s="18">
        <v>2</v>
      </c>
      <c r="G6" s="18">
        <v>9</v>
      </c>
      <c r="H6" s="18">
        <v>230</v>
      </c>
      <c r="I6" s="18">
        <v>240</v>
      </c>
      <c r="J6" s="18">
        <v>160</v>
      </c>
      <c r="K6" s="18"/>
      <c r="L6" s="18">
        <v>37</v>
      </c>
      <c r="M6" s="19" t="s">
        <v>39</v>
      </c>
    </row>
    <row r="7" spans="1:27" ht="14.25" customHeight="1">
      <c r="A7" s="7">
        <v>6</v>
      </c>
      <c r="B7" s="15">
        <v>45983</v>
      </c>
      <c r="C7" s="16"/>
      <c r="D7" s="17" t="s">
        <v>4</v>
      </c>
      <c r="E7" s="18"/>
      <c r="F7" s="18">
        <v>1</v>
      </c>
      <c r="G7" s="18">
        <v>10</v>
      </c>
      <c r="H7" s="18">
        <v>175</v>
      </c>
      <c r="I7" s="18">
        <v>180</v>
      </c>
      <c r="J7" s="18">
        <v>80</v>
      </c>
      <c r="K7" s="18">
        <v>50</v>
      </c>
      <c r="L7" s="18">
        <v>36</v>
      </c>
      <c r="M7" s="19" t="s">
        <v>39</v>
      </c>
    </row>
    <row r="8" spans="1:27" ht="25.5" customHeight="1">
      <c r="A8" s="7">
        <v>7</v>
      </c>
      <c r="B8" s="15">
        <v>45983</v>
      </c>
      <c r="C8" s="16"/>
      <c r="D8" s="17" t="s">
        <v>15</v>
      </c>
      <c r="E8" s="49"/>
      <c r="F8" s="18">
        <v>1</v>
      </c>
      <c r="G8" s="18">
        <v>11</v>
      </c>
      <c r="H8" s="18">
        <v>54</v>
      </c>
      <c r="I8" s="18">
        <v>176</v>
      </c>
      <c r="J8" s="18">
        <v>130</v>
      </c>
      <c r="K8" s="18">
        <v>50</v>
      </c>
      <c r="L8" s="18">
        <v>33</v>
      </c>
      <c r="M8" s="28" t="s">
        <v>39</v>
      </c>
    </row>
    <row r="9" spans="1:27" ht="18.75" customHeight="1">
      <c r="A9" s="7">
        <v>8</v>
      </c>
      <c r="B9" s="15">
        <v>45983</v>
      </c>
      <c r="C9" s="16"/>
      <c r="D9" s="17" t="s">
        <v>16</v>
      </c>
      <c r="E9" s="50"/>
      <c r="F9" s="18"/>
      <c r="G9" s="18"/>
      <c r="H9" s="18">
        <v>77</v>
      </c>
      <c r="I9" s="18">
        <v>91</v>
      </c>
      <c r="J9" s="18">
        <v>75</v>
      </c>
      <c r="K9" s="18">
        <v>30</v>
      </c>
      <c r="L9" s="18">
        <v>33</v>
      </c>
      <c r="M9" s="19" t="s">
        <v>39</v>
      </c>
    </row>
    <row r="10" spans="1:27" ht="15.75" customHeight="1">
      <c r="A10" s="20">
        <v>9</v>
      </c>
      <c r="B10" s="15">
        <v>45983</v>
      </c>
      <c r="C10" s="21"/>
      <c r="D10" s="22" t="s">
        <v>5</v>
      </c>
      <c r="E10" s="23"/>
      <c r="F10" s="24">
        <v>1</v>
      </c>
      <c r="G10" s="24">
        <v>7</v>
      </c>
      <c r="H10" s="24">
        <v>0</v>
      </c>
      <c r="I10" s="24">
        <v>0</v>
      </c>
      <c r="J10" s="24">
        <v>150</v>
      </c>
      <c r="K10" s="24">
        <v>50</v>
      </c>
      <c r="L10" s="24">
        <v>33</v>
      </c>
      <c r="M10" s="19" t="s">
        <v>39</v>
      </c>
      <c r="O10" s="26"/>
      <c r="P10" s="26"/>
      <c r="Q10" s="26"/>
      <c r="R10" s="26"/>
      <c r="S10" s="26"/>
      <c r="T10" s="26"/>
      <c r="U10" s="26"/>
      <c r="V10" s="26"/>
      <c r="W10" s="26"/>
      <c r="X10" s="26"/>
      <c r="Y10" s="26"/>
      <c r="Z10" s="26"/>
      <c r="AA10" s="26"/>
    </row>
    <row r="11" spans="1:27" ht="15.75" customHeight="1">
      <c r="A11" s="7">
        <v>10</v>
      </c>
      <c r="B11" s="15">
        <v>45983</v>
      </c>
      <c r="C11" s="16"/>
      <c r="D11" s="17" t="s">
        <v>6</v>
      </c>
      <c r="E11" s="18"/>
      <c r="F11" s="18"/>
      <c r="G11" s="18"/>
      <c r="H11" s="18">
        <v>44</v>
      </c>
      <c r="I11" s="18">
        <v>39</v>
      </c>
      <c r="J11" s="18"/>
      <c r="K11" s="18"/>
      <c r="L11" s="18">
        <v>32</v>
      </c>
      <c r="M11" s="19" t="s">
        <v>41</v>
      </c>
    </row>
    <row r="12" spans="1:27" ht="15.75" customHeight="1">
      <c r="A12" s="7">
        <v>11</v>
      </c>
      <c r="B12" s="15">
        <v>45983</v>
      </c>
      <c r="C12" s="16"/>
      <c r="D12" s="17" t="s">
        <v>14</v>
      </c>
      <c r="E12" s="18"/>
      <c r="F12" s="18">
        <v>1</v>
      </c>
      <c r="G12" s="18">
        <v>8</v>
      </c>
      <c r="H12" s="18"/>
      <c r="I12" s="18"/>
      <c r="J12" s="18">
        <v>100</v>
      </c>
      <c r="K12" s="18">
        <v>50</v>
      </c>
      <c r="L12" s="18"/>
      <c r="M12" s="4" t="s">
        <v>39</v>
      </c>
    </row>
    <row r="13" spans="1:27" ht="15.75" customHeight="1">
      <c r="A13" s="20">
        <v>12</v>
      </c>
      <c r="B13" s="15">
        <v>45983</v>
      </c>
      <c r="C13" s="21"/>
      <c r="D13" s="22" t="s">
        <v>19</v>
      </c>
      <c r="E13" s="24"/>
      <c r="F13" s="24">
        <v>2</v>
      </c>
      <c r="G13" s="24">
        <v>2</v>
      </c>
      <c r="H13" s="24">
        <v>100</v>
      </c>
      <c r="I13" s="24">
        <v>27</v>
      </c>
      <c r="J13" s="24">
        <v>120</v>
      </c>
      <c r="K13" s="24">
        <v>20</v>
      </c>
      <c r="L13" s="24">
        <v>30</v>
      </c>
      <c r="M13" s="27" t="s">
        <v>42</v>
      </c>
      <c r="O13" s="26"/>
      <c r="P13" s="26"/>
      <c r="Q13" s="26"/>
      <c r="R13" s="26"/>
      <c r="S13" s="26"/>
      <c r="T13" s="26"/>
      <c r="U13" s="26"/>
      <c r="V13" s="26"/>
      <c r="W13" s="26"/>
      <c r="X13" s="26"/>
      <c r="Y13" s="26"/>
      <c r="Z13" s="26"/>
      <c r="AA13" s="26"/>
    </row>
    <row r="14" spans="1:27" ht="15.75" customHeight="1">
      <c r="A14" s="7">
        <v>13</v>
      </c>
      <c r="B14" s="15">
        <v>45983</v>
      </c>
      <c r="C14" s="16"/>
      <c r="D14" s="17" t="s">
        <v>26</v>
      </c>
      <c r="E14" s="18"/>
      <c r="F14" s="18"/>
      <c r="G14" s="18"/>
      <c r="H14" s="18"/>
      <c r="I14" s="18"/>
      <c r="J14" s="18"/>
      <c r="K14" s="18"/>
      <c r="L14" s="18"/>
      <c r="M14" s="19" t="s">
        <v>43</v>
      </c>
    </row>
    <row r="15" spans="1:27" ht="15.75" customHeight="1">
      <c r="A15" s="7">
        <v>14</v>
      </c>
      <c r="B15" s="15">
        <v>45983</v>
      </c>
      <c r="C15" s="16"/>
      <c r="D15" s="17" t="s">
        <v>13</v>
      </c>
      <c r="E15" s="18"/>
      <c r="F15" s="18">
        <v>2</v>
      </c>
      <c r="G15" s="18">
        <v>7</v>
      </c>
      <c r="H15" s="18">
        <v>40</v>
      </c>
      <c r="I15" s="18">
        <v>0</v>
      </c>
      <c r="J15" s="18">
        <v>150</v>
      </c>
      <c r="K15" s="18">
        <v>43</v>
      </c>
      <c r="L15" s="18">
        <v>76</v>
      </c>
      <c r="M15" s="19" t="s">
        <v>39</v>
      </c>
    </row>
    <row r="16" spans="1:27" ht="15.75" customHeight="1">
      <c r="A16" s="7">
        <v>15</v>
      </c>
      <c r="B16" s="15">
        <v>45983</v>
      </c>
      <c r="C16" s="16"/>
      <c r="D16" s="17" t="s">
        <v>17</v>
      </c>
      <c r="E16" s="18"/>
      <c r="F16" s="18">
        <v>5</v>
      </c>
      <c r="G16" s="18">
        <v>5</v>
      </c>
      <c r="H16" s="18">
        <v>56</v>
      </c>
      <c r="I16" s="18">
        <v>47</v>
      </c>
      <c r="J16" s="18">
        <v>120</v>
      </c>
      <c r="K16" s="18"/>
      <c r="L16" s="18">
        <v>50</v>
      </c>
      <c r="M16" s="19" t="s">
        <v>39</v>
      </c>
    </row>
    <row r="17" spans="1:27" ht="15.75" customHeight="1">
      <c r="A17" s="7">
        <v>16</v>
      </c>
      <c r="B17" s="15">
        <v>45983</v>
      </c>
      <c r="C17" s="16"/>
      <c r="D17" s="17" t="s">
        <v>12</v>
      </c>
      <c r="E17" s="18"/>
      <c r="F17" s="18">
        <v>5</v>
      </c>
      <c r="G17" s="18">
        <v>8</v>
      </c>
      <c r="H17" s="18">
        <v>47</v>
      </c>
      <c r="I17" s="18">
        <v>20</v>
      </c>
      <c r="J17" s="18">
        <v>200</v>
      </c>
      <c r="K17" s="18">
        <v>50</v>
      </c>
      <c r="L17" s="18">
        <v>56</v>
      </c>
      <c r="M17" s="19" t="s">
        <v>44</v>
      </c>
    </row>
    <row r="18" spans="1:27" ht="15.75" customHeight="1">
      <c r="A18" s="7">
        <v>17</v>
      </c>
      <c r="B18" s="15">
        <v>45983</v>
      </c>
      <c r="C18" s="16"/>
      <c r="D18" s="17" t="s">
        <v>11</v>
      </c>
      <c r="E18" s="18"/>
      <c r="F18" s="18">
        <v>3</v>
      </c>
      <c r="G18" s="18">
        <v>5</v>
      </c>
      <c r="H18" s="18">
        <v>42</v>
      </c>
      <c r="I18" s="18">
        <v>140</v>
      </c>
      <c r="J18" s="18">
        <v>120</v>
      </c>
      <c r="K18" s="18">
        <v>50</v>
      </c>
      <c r="L18" s="18">
        <v>56</v>
      </c>
      <c r="M18" s="19" t="s">
        <v>44</v>
      </c>
    </row>
    <row r="19" spans="1:27" ht="15.75" customHeight="1">
      <c r="A19" s="7">
        <v>18</v>
      </c>
      <c r="B19" s="15">
        <v>45983</v>
      </c>
      <c r="C19" s="16"/>
      <c r="D19" s="17" t="s">
        <v>23</v>
      </c>
      <c r="E19" s="18"/>
      <c r="F19" s="18">
        <v>7</v>
      </c>
      <c r="G19" s="18">
        <v>1</v>
      </c>
      <c r="H19" s="18">
        <v>60</v>
      </c>
      <c r="I19" s="18">
        <v>65</v>
      </c>
      <c r="J19" s="18">
        <v>150</v>
      </c>
      <c r="K19" s="18">
        <v>50</v>
      </c>
      <c r="L19" s="18">
        <v>56</v>
      </c>
      <c r="M19" s="19" t="s">
        <v>39</v>
      </c>
    </row>
    <row r="20" spans="1:27" ht="15.75" customHeight="1">
      <c r="A20" s="7">
        <v>19</v>
      </c>
      <c r="B20" s="15">
        <v>45983</v>
      </c>
      <c r="C20" s="16"/>
      <c r="D20" s="17" t="s">
        <v>24</v>
      </c>
      <c r="E20" s="18"/>
      <c r="F20" s="18">
        <v>1</v>
      </c>
      <c r="G20" s="18">
        <v>11</v>
      </c>
      <c r="H20" s="18">
        <v>40</v>
      </c>
      <c r="I20" s="18">
        <v>129</v>
      </c>
      <c r="J20" s="18">
        <v>150</v>
      </c>
      <c r="K20" s="18">
        <v>50</v>
      </c>
      <c r="L20" s="18">
        <v>58</v>
      </c>
      <c r="M20" s="19" t="s">
        <v>39</v>
      </c>
    </row>
    <row r="21" spans="1:27" ht="15.75" customHeight="1">
      <c r="A21" s="7">
        <v>20</v>
      </c>
      <c r="B21" s="15">
        <v>45983</v>
      </c>
      <c r="C21" s="16"/>
      <c r="D21" s="17" t="s">
        <v>10</v>
      </c>
      <c r="E21" s="18"/>
      <c r="F21" s="18">
        <v>4</v>
      </c>
      <c r="G21" s="18">
        <v>0</v>
      </c>
      <c r="H21" s="18">
        <v>87</v>
      </c>
      <c r="I21" s="18">
        <v>99</v>
      </c>
      <c r="J21" s="18">
        <v>150</v>
      </c>
      <c r="K21" s="18">
        <v>50</v>
      </c>
      <c r="L21" s="18">
        <v>57</v>
      </c>
      <c r="M21" s="19" t="s">
        <v>39</v>
      </c>
    </row>
    <row r="22" spans="1:27" ht="15.75" customHeight="1">
      <c r="A22" s="7">
        <v>21</v>
      </c>
      <c r="B22" s="15">
        <v>45983</v>
      </c>
      <c r="C22" s="16"/>
      <c r="D22" s="17" t="s">
        <v>7</v>
      </c>
      <c r="E22" s="18"/>
      <c r="F22" s="18">
        <v>4</v>
      </c>
      <c r="G22" s="18">
        <v>2</v>
      </c>
      <c r="H22" s="18">
        <v>10</v>
      </c>
      <c r="I22" s="18">
        <v>62</v>
      </c>
      <c r="J22" s="18">
        <v>100</v>
      </c>
      <c r="K22" s="18">
        <v>50</v>
      </c>
      <c r="L22" s="18">
        <v>65</v>
      </c>
      <c r="M22" s="28" t="s">
        <v>39</v>
      </c>
    </row>
    <row r="23" spans="1:27" ht="15.75" customHeight="1">
      <c r="A23" s="7">
        <v>22</v>
      </c>
      <c r="B23" s="15">
        <v>45983</v>
      </c>
      <c r="C23" s="16"/>
      <c r="D23" s="17" t="s">
        <v>8</v>
      </c>
      <c r="E23" s="18"/>
      <c r="F23" s="18">
        <v>2</v>
      </c>
      <c r="G23" s="18">
        <v>11</v>
      </c>
      <c r="H23" s="18">
        <v>84</v>
      </c>
      <c r="I23" s="18">
        <v>15</v>
      </c>
      <c r="J23" s="18">
        <v>80</v>
      </c>
      <c r="K23" s="18">
        <v>50</v>
      </c>
      <c r="L23" s="18">
        <v>74</v>
      </c>
      <c r="M23" s="19" t="s">
        <v>39</v>
      </c>
    </row>
    <row r="24" spans="1:27" ht="15.75" customHeight="1">
      <c r="A24" s="20">
        <v>23</v>
      </c>
      <c r="B24" s="15">
        <v>45983</v>
      </c>
      <c r="C24" s="21"/>
      <c r="D24" s="22" t="s">
        <v>21</v>
      </c>
      <c r="E24" s="23"/>
      <c r="F24" s="24"/>
      <c r="G24" s="24"/>
      <c r="H24" s="24"/>
      <c r="I24" s="24"/>
      <c r="J24" s="24"/>
      <c r="K24" s="24"/>
      <c r="L24" s="24"/>
      <c r="M24" s="27"/>
      <c r="O24" s="26"/>
      <c r="P24" s="26"/>
      <c r="Q24" s="26"/>
      <c r="R24" s="26"/>
      <c r="S24" s="26"/>
      <c r="T24" s="26"/>
      <c r="U24" s="26"/>
      <c r="V24" s="26"/>
      <c r="W24" s="26"/>
      <c r="X24" s="26"/>
      <c r="Y24" s="26"/>
      <c r="Z24" s="26"/>
      <c r="AA24" s="26"/>
    </row>
    <row r="25" spans="1:27" ht="15.75" customHeight="1">
      <c r="A25" s="20">
        <v>24</v>
      </c>
      <c r="B25" s="15">
        <v>45983</v>
      </c>
      <c r="C25" s="21"/>
      <c r="D25" s="22" t="s">
        <v>22</v>
      </c>
      <c r="E25" s="23"/>
      <c r="F25" s="24"/>
      <c r="G25" s="24"/>
      <c r="H25" s="24"/>
      <c r="I25" s="24"/>
      <c r="J25" s="24"/>
      <c r="K25" s="24"/>
      <c r="L25" s="24"/>
      <c r="M25" s="27"/>
      <c r="O25" s="26"/>
      <c r="P25" s="26"/>
      <c r="Q25" s="26"/>
      <c r="R25" s="26"/>
      <c r="S25" s="26"/>
      <c r="T25" s="26"/>
      <c r="U25" s="26"/>
      <c r="V25" s="26"/>
      <c r="W25" s="26"/>
      <c r="X25" s="26"/>
      <c r="Y25" s="26"/>
      <c r="Z25" s="26"/>
      <c r="AA25" s="26"/>
    </row>
    <row r="26" spans="1:27" ht="15.75" customHeight="1">
      <c r="A26" s="7">
        <v>25</v>
      </c>
      <c r="B26" s="15">
        <v>45983</v>
      </c>
      <c r="C26" s="16"/>
      <c r="D26" s="17" t="s">
        <v>25</v>
      </c>
      <c r="E26" s="5"/>
      <c r="F26" s="18"/>
      <c r="G26" s="18"/>
      <c r="H26" s="18"/>
      <c r="I26" s="18"/>
      <c r="J26" s="18"/>
      <c r="K26" s="18"/>
      <c r="L26" s="18"/>
      <c r="M26" s="28"/>
    </row>
    <row r="27" spans="1:27" ht="15.75" customHeight="1">
      <c r="A27" s="7">
        <v>26</v>
      </c>
      <c r="B27" s="15">
        <v>45983</v>
      </c>
      <c r="C27" s="29"/>
      <c r="D27" s="17" t="s">
        <v>27</v>
      </c>
      <c r="E27" s="18"/>
      <c r="F27" s="18"/>
      <c r="G27" s="18"/>
      <c r="H27" s="18"/>
      <c r="I27" s="18"/>
      <c r="J27" s="18"/>
      <c r="K27" s="18"/>
      <c r="L27" s="18"/>
      <c r="M27" s="19"/>
    </row>
    <row r="28" spans="1:27" ht="15.75" customHeight="1">
      <c r="A28" s="7">
        <v>27</v>
      </c>
      <c r="B28" s="15"/>
      <c r="C28" s="18"/>
      <c r="D28" s="18"/>
      <c r="E28" s="18"/>
      <c r="F28" s="18"/>
      <c r="G28" s="18"/>
      <c r="H28" s="18"/>
      <c r="I28" s="18"/>
      <c r="J28" s="18"/>
      <c r="K28" s="18"/>
      <c r="L28" s="18"/>
      <c r="M28" s="19"/>
    </row>
    <row r="29" spans="1:27" ht="15.75" customHeight="1">
      <c r="A29" s="7">
        <v>28</v>
      </c>
      <c r="B29" s="15"/>
      <c r="C29" s="18"/>
      <c r="D29" s="18"/>
      <c r="E29" s="18"/>
      <c r="F29" s="18"/>
      <c r="G29" s="18"/>
      <c r="H29" s="18"/>
      <c r="I29" s="18"/>
      <c r="J29" s="18"/>
      <c r="K29" s="18"/>
      <c r="L29" s="18"/>
      <c r="M29" s="19"/>
    </row>
    <row r="30" spans="1:27" ht="15.75" customHeight="1">
      <c r="A30" s="7">
        <v>29</v>
      </c>
      <c r="B30" s="15"/>
      <c r="C30" s="18"/>
      <c r="D30" s="18"/>
      <c r="E30" s="18"/>
      <c r="F30" s="18"/>
      <c r="G30" s="18"/>
      <c r="H30" s="18"/>
      <c r="I30" s="18"/>
      <c r="J30" s="18"/>
      <c r="K30" s="18"/>
      <c r="L30" s="18"/>
      <c r="M30" s="19"/>
    </row>
    <row r="31" spans="1:27" ht="15.75" customHeight="1">
      <c r="A31" s="7">
        <v>30</v>
      </c>
      <c r="B31" s="15"/>
      <c r="C31" s="18"/>
      <c r="D31" s="18"/>
      <c r="E31" s="18"/>
      <c r="F31" s="18"/>
      <c r="G31" s="18"/>
      <c r="H31" s="18"/>
      <c r="I31" s="18"/>
      <c r="J31" s="18"/>
      <c r="K31" s="18"/>
      <c r="L31" s="18"/>
      <c r="M31" s="19"/>
    </row>
    <row r="32" spans="1:27" ht="15.75" customHeight="1">
      <c r="A32" s="7">
        <v>31</v>
      </c>
      <c r="B32" s="15"/>
      <c r="C32" s="18"/>
      <c r="D32" s="18"/>
      <c r="E32" s="18"/>
      <c r="F32" s="18"/>
      <c r="G32" s="18"/>
      <c r="H32" s="18"/>
      <c r="I32" s="18"/>
      <c r="J32" s="18"/>
      <c r="K32" s="18"/>
      <c r="L32" s="18"/>
      <c r="M32" s="19"/>
    </row>
    <row r="33" spans="1:13" ht="15.75" customHeight="1">
      <c r="A33" s="7">
        <v>32</v>
      </c>
      <c r="B33" s="15"/>
      <c r="C33" s="18"/>
      <c r="D33" s="18"/>
      <c r="E33" s="18"/>
      <c r="F33" s="18"/>
      <c r="G33" s="18"/>
      <c r="H33" s="18"/>
      <c r="I33" s="18"/>
      <c r="J33" s="18"/>
      <c r="K33" s="18"/>
      <c r="L33" s="18"/>
      <c r="M33" s="19"/>
    </row>
    <row r="34" spans="1:13" ht="15.75" customHeight="1">
      <c r="A34" s="7">
        <v>33</v>
      </c>
      <c r="B34" s="15"/>
      <c r="C34" s="18"/>
      <c r="D34" s="18"/>
      <c r="E34" s="18"/>
      <c r="F34" s="18"/>
      <c r="G34" s="18"/>
      <c r="H34" s="18"/>
      <c r="I34" s="18"/>
      <c r="J34" s="18"/>
      <c r="K34" s="18"/>
      <c r="L34" s="18"/>
      <c r="M34" s="19"/>
    </row>
    <row r="35" spans="1:13" ht="15.75" customHeight="1">
      <c r="A35" s="7">
        <v>34</v>
      </c>
      <c r="B35" s="15"/>
      <c r="C35" s="18"/>
      <c r="D35" s="18"/>
      <c r="E35" s="18"/>
      <c r="F35" s="18"/>
      <c r="G35" s="18"/>
      <c r="H35" s="18"/>
      <c r="I35" s="18"/>
      <c r="J35" s="18"/>
      <c r="K35" s="18"/>
      <c r="L35" s="18"/>
      <c r="M35" s="19"/>
    </row>
    <row r="36" spans="1:13" ht="15.75" customHeight="1">
      <c r="A36" s="7">
        <v>35</v>
      </c>
      <c r="B36" s="15"/>
      <c r="C36" s="18"/>
      <c r="D36" s="18"/>
      <c r="E36" s="18"/>
      <c r="F36" s="18"/>
      <c r="G36" s="18"/>
      <c r="H36" s="18"/>
      <c r="I36" s="18"/>
      <c r="J36" s="18"/>
      <c r="K36" s="18"/>
      <c r="L36" s="18"/>
      <c r="M36" s="19"/>
    </row>
    <row r="37" spans="1:13" ht="15.75" customHeight="1">
      <c r="A37" s="7">
        <v>36</v>
      </c>
      <c r="B37" s="15"/>
      <c r="C37" s="18"/>
      <c r="D37" s="18"/>
      <c r="E37" s="18"/>
      <c r="F37" s="18"/>
      <c r="G37" s="18"/>
      <c r="H37" s="18"/>
      <c r="I37" s="18"/>
      <c r="J37" s="18"/>
      <c r="K37" s="18"/>
      <c r="L37" s="18"/>
      <c r="M37" s="19"/>
    </row>
    <row r="38" spans="1:13" ht="15.75" customHeight="1">
      <c r="A38" s="4"/>
      <c r="B38" s="6"/>
      <c r="C38" s="11"/>
      <c r="D38" s="11"/>
      <c r="E38" s="11"/>
      <c r="F38" s="30"/>
      <c r="G38" s="30"/>
      <c r="H38" s="30">
        <f>SUM(H1:H37)</f>
        <v>1504</v>
      </c>
      <c r="I38" s="11"/>
      <c r="J38" s="11"/>
      <c r="K38" s="11"/>
      <c r="L38" s="11"/>
      <c r="M38" s="4"/>
    </row>
    <row r="39" spans="1:13" ht="15.75" customHeight="1">
      <c r="B39" s="11"/>
      <c r="C39" s="11"/>
      <c r="D39" s="11"/>
      <c r="E39" s="11"/>
      <c r="F39" s="11"/>
      <c r="G39" s="11"/>
      <c r="H39" s="11"/>
      <c r="I39" s="11"/>
      <c r="J39" s="11"/>
      <c r="K39" s="11"/>
      <c r="L39" s="11"/>
    </row>
    <row r="40" spans="1:13" ht="15.75" customHeight="1">
      <c r="B40" s="11"/>
      <c r="C40" s="11"/>
      <c r="D40" s="11"/>
      <c r="E40" s="11"/>
      <c r="F40" s="11"/>
      <c r="G40" s="11"/>
      <c r="H40" s="11"/>
      <c r="I40" s="11"/>
      <c r="J40" s="11"/>
      <c r="K40" s="11"/>
      <c r="L40" s="11"/>
    </row>
    <row r="41" spans="1:13" ht="15.75" customHeight="1">
      <c r="B41" s="11"/>
      <c r="C41" s="11"/>
      <c r="D41" s="11"/>
      <c r="E41" s="11"/>
      <c r="F41" s="11"/>
      <c r="G41" s="11"/>
      <c r="H41" s="11"/>
      <c r="I41" s="11"/>
      <c r="J41" s="11"/>
      <c r="K41" s="11"/>
      <c r="L41" s="11"/>
    </row>
    <row r="42" spans="1:13" ht="15.75" customHeight="1">
      <c r="B42" s="11"/>
      <c r="C42" s="11"/>
      <c r="D42" s="11"/>
      <c r="E42" s="11"/>
      <c r="F42" s="11"/>
      <c r="G42" s="11"/>
      <c r="H42" s="11"/>
      <c r="I42" s="11"/>
      <c r="J42" s="11"/>
      <c r="K42" s="11"/>
      <c r="L42" s="11"/>
    </row>
    <row r="43" spans="1:13" ht="15.75" customHeight="1">
      <c r="B43" s="11"/>
      <c r="C43" s="11"/>
      <c r="D43" s="11"/>
      <c r="E43" s="11"/>
      <c r="F43" s="11"/>
      <c r="G43" s="11"/>
      <c r="H43" s="11"/>
      <c r="I43" s="11"/>
      <c r="J43" s="11"/>
      <c r="K43" s="11"/>
      <c r="L43" s="11"/>
    </row>
    <row r="44" spans="1:13" ht="15.75" customHeight="1">
      <c r="B44" s="11"/>
      <c r="C44" s="11"/>
      <c r="D44" s="11"/>
      <c r="E44" s="11"/>
      <c r="F44" s="11"/>
      <c r="G44" s="11"/>
      <c r="H44" s="11"/>
      <c r="I44" s="11"/>
      <c r="J44" s="11"/>
      <c r="K44" s="11"/>
      <c r="L44" s="11"/>
    </row>
    <row r="45" spans="1:13" ht="15.75" customHeight="1">
      <c r="B45" s="11"/>
      <c r="C45" s="11"/>
      <c r="D45" s="11"/>
      <c r="E45" s="11"/>
      <c r="F45" s="11"/>
      <c r="G45" s="11"/>
      <c r="H45" s="11"/>
      <c r="I45" s="11"/>
      <c r="J45" s="11"/>
      <c r="K45" s="11"/>
      <c r="L45" s="11"/>
    </row>
    <row r="46" spans="1:13" ht="15.75" customHeight="1">
      <c r="B46" s="11"/>
      <c r="C46" s="11"/>
      <c r="D46" s="11"/>
      <c r="E46" s="11"/>
      <c r="F46" s="11"/>
      <c r="G46" s="11"/>
      <c r="H46" s="11"/>
      <c r="I46" s="11"/>
      <c r="J46" s="11"/>
      <c r="K46" s="11"/>
      <c r="L46" s="11"/>
    </row>
    <row r="47" spans="1:13" ht="15.75" customHeight="1">
      <c r="B47" s="11"/>
      <c r="C47" s="11"/>
      <c r="D47" s="11"/>
      <c r="E47" s="11"/>
      <c r="F47" s="11"/>
      <c r="G47" s="11"/>
      <c r="H47" s="11"/>
      <c r="I47" s="11"/>
      <c r="J47" s="11"/>
      <c r="K47" s="11"/>
      <c r="L47" s="11"/>
    </row>
    <row r="48" spans="1:13" ht="15.75" customHeight="1">
      <c r="B48" s="11"/>
      <c r="C48" s="11"/>
      <c r="D48" s="11"/>
      <c r="E48" s="11"/>
      <c r="F48" s="11"/>
      <c r="G48" s="11"/>
      <c r="H48" s="11"/>
      <c r="I48" s="11"/>
      <c r="J48" s="11"/>
      <c r="K48" s="11"/>
      <c r="L48" s="11"/>
    </row>
    <row r="49" spans="2:12" ht="15.75" customHeight="1">
      <c r="B49" s="11"/>
      <c r="C49" s="11"/>
      <c r="D49" s="11"/>
      <c r="E49" s="11"/>
      <c r="F49" s="11"/>
      <c r="G49" s="11"/>
      <c r="H49" s="11"/>
      <c r="I49" s="11"/>
      <c r="J49" s="11"/>
      <c r="K49" s="11"/>
      <c r="L49" s="11"/>
    </row>
    <row r="50" spans="2:12" ht="15.75" customHeight="1">
      <c r="B50" s="11"/>
      <c r="C50" s="11"/>
      <c r="D50" s="11"/>
      <c r="E50" s="11"/>
      <c r="F50" s="11"/>
      <c r="G50" s="11"/>
      <c r="H50" s="11"/>
      <c r="I50" s="11"/>
      <c r="J50" s="11"/>
      <c r="K50" s="11"/>
      <c r="L50" s="11"/>
    </row>
    <row r="51" spans="2:12" ht="15.75" customHeight="1">
      <c r="B51" s="11"/>
      <c r="C51" s="11"/>
      <c r="D51" s="11"/>
      <c r="E51" s="11"/>
      <c r="F51" s="11"/>
      <c r="G51" s="11"/>
      <c r="H51" s="11"/>
      <c r="I51" s="11"/>
      <c r="J51" s="11"/>
      <c r="K51" s="11"/>
      <c r="L51" s="11"/>
    </row>
    <row r="52" spans="2:12" ht="15.75" customHeight="1">
      <c r="B52" s="11"/>
      <c r="C52" s="11"/>
      <c r="D52" s="11"/>
      <c r="E52" s="11"/>
      <c r="F52" s="11"/>
      <c r="G52" s="11"/>
      <c r="H52" s="11"/>
      <c r="I52" s="11"/>
      <c r="J52" s="11"/>
      <c r="K52" s="11"/>
      <c r="L52" s="11"/>
    </row>
    <row r="53" spans="2:12" ht="15.75" customHeight="1">
      <c r="B53" s="11"/>
      <c r="C53" s="11"/>
      <c r="D53" s="11"/>
      <c r="E53" s="11"/>
      <c r="F53" s="11"/>
      <c r="G53" s="11"/>
      <c r="H53" s="11"/>
      <c r="I53" s="11"/>
      <c r="J53" s="11"/>
      <c r="K53" s="11"/>
      <c r="L53" s="11"/>
    </row>
    <row r="54" spans="2:12" ht="15.75" customHeight="1">
      <c r="B54" s="11"/>
      <c r="C54" s="11"/>
      <c r="D54" s="11"/>
      <c r="E54" s="11"/>
      <c r="F54" s="11"/>
      <c r="G54" s="11"/>
      <c r="H54" s="11"/>
      <c r="I54" s="11"/>
      <c r="J54" s="11"/>
      <c r="K54" s="11"/>
      <c r="L54" s="11"/>
    </row>
    <row r="55" spans="2:12" ht="15.75" customHeight="1">
      <c r="B55" s="11"/>
      <c r="C55" s="11"/>
      <c r="D55" s="11"/>
      <c r="E55" s="11"/>
      <c r="F55" s="11"/>
      <c r="G55" s="11"/>
      <c r="H55" s="11"/>
      <c r="I55" s="11"/>
      <c r="J55" s="11"/>
      <c r="K55" s="11"/>
      <c r="L55" s="11"/>
    </row>
    <row r="56" spans="2:12" ht="15.75" customHeight="1">
      <c r="B56" s="11"/>
      <c r="C56" s="11"/>
      <c r="D56" s="11"/>
      <c r="E56" s="11"/>
      <c r="F56" s="11"/>
      <c r="G56" s="11"/>
      <c r="H56" s="11"/>
      <c r="I56" s="11"/>
      <c r="J56" s="11"/>
      <c r="K56" s="11"/>
      <c r="L56" s="11"/>
    </row>
    <row r="57" spans="2:12" ht="15.75" customHeight="1">
      <c r="B57" s="11"/>
      <c r="C57" s="11"/>
      <c r="D57" s="11"/>
      <c r="E57" s="11"/>
      <c r="F57" s="11"/>
      <c r="G57" s="11"/>
      <c r="H57" s="11"/>
      <c r="I57" s="11"/>
      <c r="J57" s="11"/>
      <c r="K57" s="11"/>
      <c r="L57" s="11"/>
    </row>
    <row r="58" spans="2:12" ht="15.75" customHeight="1">
      <c r="B58" s="11"/>
      <c r="C58" s="11"/>
      <c r="D58" s="11"/>
      <c r="E58" s="11"/>
      <c r="F58" s="11"/>
      <c r="G58" s="11"/>
      <c r="H58" s="11"/>
      <c r="I58" s="11"/>
      <c r="J58" s="11"/>
      <c r="K58" s="11"/>
      <c r="L58" s="11"/>
    </row>
    <row r="59" spans="2:12" ht="15.75" customHeight="1">
      <c r="B59" s="11"/>
      <c r="C59" s="11"/>
      <c r="D59" s="11"/>
      <c r="E59" s="11"/>
      <c r="F59" s="11"/>
      <c r="G59" s="11"/>
      <c r="H59" s="11"/>
      <c r="I59" s="11"/>
      <c r="J59" s="11"/>
      <c r="K59" s="11"/>
      <c r="L59" s="11"/>
    </row>
    <row r="60" spans="2:12" ht="15.75" customHeight="1">
      <c r="B60" s="11"/>
      <c r="C60" s="11"/>
      <c r="D60" s="11"/>
      <c r="E60" s="11"/>
      <c r="F60" s="11"/>
      <c r="G60" s="11"/>
      <c r="H60" s="11"/>
      <c r="I60" s="11"/>
      <c r="J60" s="11"/>
      <c r="K60" s="11"/>
      <c r="L60" s="11"/>
    </row>
    <row r="61" spans="2:12" ht="15.75" customHeight="1">
      <c r="B61" s="11"/>
      <c r="C61" s="11"/>
      <c r="D61" s="11"/>
      <c r="E61" s="11"/>
      <c r="F61" s="11"/>
      <c r="G61" s="11"/>
      <c r="H61" s="11"/>
      <c r="I61" s="11"/>
      <c r="J61" s="11"/>
      <c r="K61" s="11"/>
      <c r="L61" s="11"/>
    </row>
    <row r="62" spans="2:12" ht="15.75" customHeight="1">
      <c r="B62" s="11"/>
      <c r="C62" s="11"/>
      <c r="D62" s="11"/>
      <c r="E62" s="11"/>
      <c r="F62" s="11"/>
      <c r="G62" s="11"/>
      <c r="H62" s="11"/>
      <c r="I62" s="11"/>
      <c r="J62" s="11"/>
      <c r="K62" s="11"/>
      <c r="L62" s="11"/>
    </row>
    <row r="63" spans="2:12" ht="15.75" customHeight="1">
      <c r="B63" s="11"/>
      <c r="C63" s="11"/>
      <c r="D63" s="11"/>
      <c r="E63" s="11"/>
      <c r="F63" s="11"/>
      <c r="G63" s="11"/>
      <c r="H63" s="11"/>
      <c r="I63" s="11"/>
      <c r="J63" s="11"/>
      <c r="K63" s="11"/>
      <c r="L63" s="11"/>
    </row>
    <row r="64" spans="2:12" ht="15.75" customHeight="1">
      <c r="B64" s="11"/>
      <c r="C64" s="11"/>
      <c r="D64" s="11"/>
      <c r="E64" s="11"/>
      <c r="F64" s="11"/>
      <c r="G64" s="11"/>
      <c r="H64" s="11"/>
      <c r="I64" s="11"/>
      <c r="J64" s="11"/>
      <c r="K64" s="11"/>
      <c r="L64" s="11"/>
    </row>
    <row r="65" spans="2:12" ht="15.75" customHeight="1">
      <c r="B65" s="11"/>
      <c r="C65" s="11"/>
      <c r="D65" s="11"/>
      <c r="E65" s="11"/>
      <c r="F65" s="11"/>
      <c r="G65" s="11"/>
      <c r="H65" s="11"/>
      <c r="I65" s="11"/>
      <c r="J65" s="11"/>
      <c r="K65" s="11"/>
      <c r="L65" s="11"/>
    </row>
    <row r="66" spans="2:12" ht="15.75" customHeight="1">
      <c r="B66" s="11"/>
      <c r="C66" s="11"/>
      <c r="D66" s="11"/>
      <c r="E66" s="11"/>
      <c r="F66" s="11"/>
      <c r="G66" s="11"/>
      <c r="H66" s="11"/>
      <c r="I66" s="11"/>
      <c r="J66" s="11"/>
      <c r="K66" s="11"/>
      <c r="L66" s="11"/>
    </row>
    <row r="67" spans="2:12" ht="15.75" customHeight="1">
      <c r="B67" s="11"/>
      <c r="C67" s="11"/>
      <c r="D67" s="11"/>
      <c r="E67" s="11"/>
      <c r="F67" s="11"/>
      <c r="G67" s="11"/>
      <c r="H67" s="11"/>
      <c r="I67" s="11"/>
      <c r="J67" s="11"/>
      <c r="K67" s="11"/>
      <c r="L67" s="11"/>
    </row>
    <row r="68" spans="2:12" ht="15.75" customHeight="1">
      <c r="B68" s="11"/>
      <c r="C68" s="11"/>
      <c r="D68" s="11"/>
      <c r="E68" s="11"/>
      <c r="F68" s="11"/>
      <c r="G68" s="11"/>
      <c r="H68" s="11"/>
      <c r="I68" s="11"/>
      <c r="J68" s="11"/>
      <c r="K68" s="11"/>
      <c r="L68" s="11"/>
    </row>
    <row r="69" spans="2:12" ht="15.75" customHeight="1">
      <c r="B69" s="11"/>
      <c r="C69" s="11"/>
      <c r="D69" s="11"/>
      <c r="E69" s="11"/>
      <c r="F69" s="11"/>
      <c r="G69" s="11"/>
      <c r="H69" s="11"/>
      <c r="I69" s="11"/>
      <c r="J69" s="11"/>
      <c r="K69" s="11"/>
      <c r="L69" s="11"/>
    </row>
    <row r="70" spans="2:12" ht="15.75" customHeight="1">
      <c r="B70" s="11"/>
      <c r="C70" s="11"/>
      <c r="D70" s="11"/>
      <c r="E70" s="11"/>
      <c r="F70" s="11"/>
      <c r="G70" s="11"/>
      <c r="H70" s="11"/>
      <c r="I70" s="11"/>
      <c r="J70" s="11"/>
      <c r="K70" s="11"/>
      <c r="L70" s="11"/>
    </row>
    <row r="71" spans="2:12" ht="15.75" customHeight="1">
      <c r="B71" s="11"/>
      <c r="C71" s="11"/>
      <c r="D71" s="11"/>
      <c r="E71" s="11"/>
      <c r="F71" s="11"/>
      <c r="G71" s="11"/>
      <c r="H71" s="11"/>
      <c r="I71" s="11"/>
      <c r="J71" s="11"/>
      <c r="K71" s="11"/>
      <c r="L71" s="11"/>
    </row>
    <row r="72" spans="2:12" ht="15.75" customHeight="1">
      <c r="B72" s="11"/>
      <c r="C72" s="11"/>
      <c r="D72" s="11"/>
      <c r="E72" s="11"/>
      <c r="F72" s="11"/>
      <c r="G72" s="11"/>
      <c r="H72" s="11"/>
      <c r="I72" s="11"/>
      <c r="J72" s="11"/>
      <c r="K72" s="11"/>
      <c r="L72" s="11"/>
    </row>
    <row r="73" spans="2:12" ht="15.75" customHeight="1">
      <c r="B73" s="11"/>
      <c r="C73" s="11"/>
      <c r="D73" s="11"/>
      <c r="E73" s="11"/>
      <c r="F73" s="11"/>
      <c r="G73" s="11"/>
      <c r="H73" s="11"/>
      <c r="I73" s="11"/>
      <c r="J73" s="11"/>
      <c r="K73" s="11"/>
      <c r="L73" s="11"/>
    </row>
    <row r="74" spans="2:12" ht="15.75" customHeight="1">
      <c r="B74" s="11"/>
      <c r="C74" s="11"/>
      <c r="D74" s="11"/>
      <c r="E74" s="11"/>
      <c r="F74" s="11"/>
      <c r="G74" s="11"/>
      <c r="H74" s="11"/>
      <c r="I74" s="11"/>
      <c r="J74" s="11"/>
      <c r="K74" s="11"/>
      <c r="L74" s="11"/>
    </row>
    <row r="75" spans="2:12" ht="15.75" customHeight="1">
      <c r="B75" s="11"/>
      <c r="C75" s="11"/>
      <c r="D75" s="11"/>
      <c r="E75" s="11"/>
      <c r="F75" s="11"/>
      <c r="G75" s="11"/>
      <c r="H75" s="11"/>
      <c r="I75" s="11"/>
      <c r="J75" s="11"/>
      <c r="K75" s="11"/>
      <c r="L75" s="11"/>
    </row>
    <row r="76" spans="2:12" ht="15.75" customHeight="1">
      <c r="B76" s="11"/>
      <c r="C76" s="11"/>
      <c r="D76" s="11"/>
      <c r="E76" s="11"/>
      <c r="F76" s="11"/>
      <c r="G76" s="11"/>
      <c r="H76" s="11"/>
      <c r="I76" s="11"/>
      <c r="J76" s="11"/>
      <c r="K76" s="11"/>
      <c r="L76" s="11"/>
    </row>
    <row r="77" spans="2:12" ht="15.75" customHeight="1">
      <c r="B77" s="11"/>
      <c r="C77" s="11"/>
      <c r="D77" s="11"/>
      <c r="E77" s="11"/>
      <c r="F77" s="11"/>
      <c r="G77" s="11"/>
      <c r="H77" s="11"/>
      <c r="I77" s="11"/>
      <c r="J77" s="11"/>
      <c r="K77" s="11"/>
      <c r="L77" s="11"/>
    </row>
    <row r="78" spans="2:12" ht="15.75" customHeight="1">
      <c r="B78" s="11"/>
      <c r="C78" s="11"/>
      <c r="D78" s="11"/>
      <c r="E78" s="11"/>
      <c r="F78" s="11"/>
      <c r="G78" s="11"/>
      <c r="H78" s="11"/>
      <c r="I78" s="11"/>
      <c r="J78" s="11"/>
      <c r="K78" s="11"/>
      <c r="L78" s="11"/>
    </row>
    <row r="79" spans="2:12" ht="15.75" customHeight="1">
      <c r="B79" s="11"/>
      <c r="C79" s="11"/>
      <c r="D79" s="11"/>
      <c r="E79" s="11"/>
      <c r="F79" s="11"/>
      <c r="G79" s="11"/>
      <c r="H79" s="11"/>
      <c r="I79" s="11"/>
      <c r="J79" s="11"/>
      <c r="K79" s="11"/>
      <c r="L79" s="11"/>
    </row>
    <row r="80" spans="2:12" ht="15.75" customHeight="1">
      <c r="B80" s="11"/>
      <c r="C80" s="11"/>
      <c r="D80" s="11"/>
      <c r="E80" s="11"/>
      <c r="F80" s="11"/>
      <c r="G80" s="11"/>
      <c r="H80" s="11"/>
      <c r="I80" s="11"/>
      <c r="J80" s="11"/>
      <c r="K80" s="11"/>
      <c r="L80" s="11"/>
    </row>
    <row r="81" spans="2:12" ht="15.75" customHeight="1">
      <c r="B81" s="11"/>
      <c r="C81" s="11"/>
      <c r="D81" s="11"/>
      <c r="E81" s="11"/>
      <c r="F81" s="11"/>
      <c r="G81" s="11"/>
      <c r="H81" s="11"/>
      <c r="I81" s="11"/>
      <c r="J81" s="11"/>
      <c r="K81" s="11"/>
      <c r="L81" s="11"/>
    </row>
    <row r="82" spans="2:12" ht="15.75" customHeight="1">
      <c r="B82" s="11"/>
      <c r="C82" s="11"/>
      <c r="D82" s="11"/>
      <c r="E82" s="11"/>
      <c r="F82" s="11"/>
      <c r="G82" s="11"/>
      <c r="H82" s="11"/>
      <c r="I82" s="11"/>
      <c r="J82" s="11"/>
      <c r="K82" s="11"/>
      <c r="L82" s="11"/>
    </row>
    <row r="83" spans="2:12" ht="15.75" customHeight="1">
      <c r="B83" s="11"/>
      <c r="C83" s="11"/>
      <c r="D83" s="11"/>
      <c r="E83" s="11"/>
      <c r="F83" s="11"/>
      <c r="G83" s="11"/>
      <c r="H83" s="11"/>
      <c r="I83" s="11"/>
      <c r="J83" s="11"/>
      <c r="K83" s="11"/>
      <c r="L83" s="11"/>
    </row>
    <row r="84" spans="2:12" ht="15.75" customHeight="1">
      <c r="B84" s="11"/>
      <c r="C84" s="11"/>
      <c r="D84" s="11"/>
      <c r="E84" s="11"/>
      <c r="F84" s="11"/>
      <c r="G84" s="11"/>
      <c r="H84" s="11"/>
      <c r="I84" s="11"/>
      <c r="J84" s="11"/>
      <c r="K84" s="11"/>
      <c r="L84" s="11"/>
    </row>
    <row r="85" spans="2:12" ht="15.75" customHeight="1">
      <c r="B85" s="11"/>
      <c r="C85" s="11"/>
      <c r="D85" s="11"/>
      <c r="E85" s="11"/>
      <c r="F85" s="11"/>
      <c r="G85" s="11"/>
      <c r="H85" s="11"/>
      <c r="I85" s="11"/>
      <c r="J85" s="11"/>
      <c r="K85" s="11"/>
      <c r="L85" s="11"/>
    </row>
    <row r="86" spans="2:12" ht="15.75" customHeight="1">
      <c r="B86" s="11"/>
      <c r="C86" s="11"/>
      <c r="D86" s="11"/>
      <c r="E86" s="11"/>
      <c r="F86" s="11"/>
      <c r="G86" s="11"/>
      <c r="H86" s="11"/>
      <c r="I86" s="11"/>
      <c r="J86" s="11"/>
      <c r="K86" s="11"/>
      <c r="L86" s="11"/>
    </row>
    <row r="87" spans="2:12" ht="15.75" customHeight="1">
      <c r="B87" s="11"/>
      <c r="C87" s="11"/>
      <c r="D87" s="11"/>
      <c r="E87" s="11"/>
      <c r="F87" s="11"/>
      <c r="G87" s="11"/>
      <c r="H87" s="11"/>
      <c r="I87" s="11"/>
      <c r="J87" s="11"/>
      <c r="K87" s="11"/>
      <c r="L87" s="11"/>
    </row>
    <row r="88" spans="2:12" ht="15.75" customHeight="1">
      <c r="B88" s="11"/>
      <c r="C88" s="11"/>
      <c r="D88" s="11"/>
      <c r="E88" s="11"/>
      <c r="F88" s="11"/>
      <c r="G88" s="11"/>
      <c r="H88" s="11"/>
      <c r="I88" s="11"/>
      <c r="J88" s="11"/>
      <c r="K88" s="11"/>
      <c r="L88" s="11"/>
    </row>
    <row r="89" spans="2:12" ht="15.75" customHeight="1">
      <c r="B89" s="11"/>
      <c r="C89" s="11"/>
      <c r="D89" s="11"/>
      <c r="E89" s="11"/>
      <c r="F89" s="11"/>
      <c r="G89" s="11"/>
      <c r="H89" s="11"/>
      <c r="I89" s="11"/>
      <c r="J89" s="11"/>
      <c r="K89" s="11"/>
      <c r="L89" s="11"/>
    </row>
    <row r="90" spans="2:12" ht="15.75" customHeight="1">
      <c r="B90" s="11"/>
      <c r="C90" s="11"/>
      <c r="D90" s="11"/>
      <c r="E90" s="11"/>
      <c r="F90" s="11"/>
      <c r="G90" s="11"/>
      <c r="H90" s="11"/>
      <c r="I90" s="11"/>
      <c r="J90" s="11"/>
      <c r="K90" s="11"/>
      <c r="L90" s="11"/>
    </row>
    <row r="91" spans="2:12" ht="15.75" customHeight="1">
      <c r="B91" s="11"/>
      <c r="C91" s="11"/>
      <c r="D91" s="11"/>
      <c r="E91" s="11"/>
      <c r="F91" s="11"/>
      <c r="G91" s="11"/>
      <c r="H91" s="11"/>
      <c r="I91" s="11"/>
      <c r="J91" s="11"/>
      <c r="K91" s="11"/>
      <c r="L91" s="11"/>
    </row>
    <row r="92" spans="2:12" ht="15.75" customHeight="1">
      <c r="B92" s="11"/>
      <c r="C92" s="11"/>
      <c r="D92" s="11"/>
      <c r="E92" s="11"/>
      <c r="F92" s="11"/>
      <c r="G92" s="11"/>
      <c r="H92" s="11"/>
      <c r="I92" s="11"/>
      <c r="J92" s="11"/>
      <c r="K92" s="11"/>
      <c r="L92" s="11"/>
    </row>
    <row r="93" spans="2:12" ht="15.75" customHeight="1">
      <c r="B93" s="11"/>
      <c r="C93" s="11"/>
      <c r="D93" s="11"/>
      <c r="E93" s="11"/>
      <c r="F93" s="11"/>
      <c r="G93" s="11"/>
      <c r="H93" s="11"/>
      <c r="I93" s="11"/>
      <c r="J93" s="11"/>
      <c r="K93" s="11"/>
      <c r="L93" s="11"/>
    </row>
    <row r="94" spans="2:12" ht="15.75" customHeight="1">
      <c r="B94" s="11"/>
      <c r="C94" s="11"/>
      <c r="D94" s="11"/>
      <c r="E94" s="11"/>
      <c r="F94" s="11"/>
      <c r="G94" s="11"/>
      <c r="H94" s="11"/>
      <c r="I94" s="11"/>
      <c r="J94" s="11"/>
      <c r="K94" s="11"/>
      <c r="L94" s="11"/>
    </row>
    <row r="95" spans="2:12" ht="15.75" customHeight="1">
      <c r="B95" s="11"/>
      <c r="C95" s="11"/>
      <c r="D95" s="11"/>
      <c r="E95" s="11"/>
      <c r="F95" s="11"/>
      <c r="G95" s="11"/>
      <c r="H95" s="11"/>
      <c r="I95" s="11"/>
      <c r="J95" s="11"/>
      <c r="K95" s="11"/>
      <c r="L95" s="11"/>
    </row>
    <row r="96" spans="2:12" ht="15.75" customHeight="1">
      <c r="B96" s="11"/>
      <c r="C96" s="11"/>
      <c r="D96" s="11"/>
      <c r="E96" s="11"/>
      <c r="F96" s="11"/>
      <c r="G96" s="11"/>
      <c r="H96" s="11"/>
      <c r="I96" s="11"/>
      <c r="J96" s="11"/>
      <c r="K96" s="11"/>
      <c r="L96" s="11"/>
    </row>
    <row r="97" spans="2:12" ht="15.75" customHeight="1">
      <c r="B97" s="11"/>
      <c r="C97" s="11"/>
      <c r="D97" s="11"/>
      <c r="E97" s="11"/>
      <c r="F97" s="11"/>
      <c r="G97" s="11"/>
      <c r="H97" s="11"/>
      <c r="I97" s="11"/>
      <c r="J97" s="11"/>
      <c r="K97" s="11"/>
      <c r="L97" s="11"/>
    </row>
    <row r="98" spans="2:12" ht="15.75" customHeight="1">
      <c r="B98" s="11"/>
      <c r="C98" s="11"/>
      <c r="D98" s="11"/>
      <c r="E98" s="11"/>
      <c r="F98" s="11"/>
      <c r="G98" s="11"/>
      <c r="H98" s="11"/>
      <c r="I98" s="11"/>
      <c r="J98" s="11"/>
      <c r="K98" s="11"/>
      <c r="L98" s="11"/>
    </row>
    <row r="99" spans="2:12" ht="15.75" customHeight="1">
      <c r="B99" s="11"/>
      <c r="C99" s="11"/>
      <c r="D99" s="11"/>
      <c r="E99" s="11"/>
      <c r="F99" s="11"/>
      <c r="G99" s="11"/>
      <c r="H99" s="11"/>
      <c r="I99" s="11"/>
      <c r="J99" s="11"/>
      <c r="K99" s="11"/>
      <c r="L99" s="11"/>
    </row>
    <row r="100" spans="2:12" ht="15.75" customHeight="1">
      <c r="B100" s="11"/>
      <c r="C100" s="11"/>
      <c r="D100" s="11"/>
      <c r="E100" s="11"/>
      <c r="F100" s="11"/>
      <c r="G100" s="11"/>
      <c r="H100" s="11"/>
      <c r="I100" s="11"/>
      <c r="J100" s="11"/>
      <c r="K100" s="11"/>
      <c r="L100" s="11"/>
    </row>
    <row r="101" spans="2:12" ht="15.75" customHeight="1">
      <c r="B101" s="11"/>
      <c r="C101" s="11"/>
      <c r="D101" s="11"/>
      <c r="E101" s="11"/>
      <c r="F101" s="11"/>
      <c r="G101" s="11"/>
      <c r="H101" s="11"/>
      <c r="I101" s="11"/>
      <c r="J101" s="11"/>
      <c r="K101" s="11"/>
      <c r="L101" s="11"/>
    </row>
    <row r="102" spans="2:12" ht="15.75" customHeight="1">
      <c r="B102" s="11"/>
      <c r="C102" s="11"/>
      <c r="D102" s="11"/>
      <c r="E102" s="11"/>
      <c r="F102" s="11"/>
      <c r="G102" s="11"/>
      <c r="H102" s="11"/>
      <c r="I102" s="11"/>
      <c r="J102" s="11"/>
      <c r="K102" s="11"/>
      <c r="L102" s="11"/>
    </row>
    <row r="103" spans="2:12" ht="15.75" customHeight="1">
      <c r="B103" s="11"/>
      <c r="C103" s="11"/>
      <c r="D103" s="11"/>
      <c r="E103" s="11"/>
      <c r="F103" s="11"/>
      <c r="G103" s="11"/>
      <c r="H103" s="11"/>
      <c r="I103" s="11"/>
      <c r="J103" s="11"/>
      <c r="K103" s="11"/>
      <c r="L103" s="11"/>
    </row>
    <row r="104" spans="2:12" ht="15.75" customHeight="1">
      <c r="B104" s="11"/>
      <c r="C104" s="11"/>
      <c r="D104" s="11"/>
      <c r="E104" s="11"/>
      <c r="F104" s="11"/>
      <c r="G104" s="11"/>
      <c r="H104" s="11"/>
      <c r="I104" s="11"/>
      <c r="J104" s="11"/>
      <c r="K104" s="11"/>
      <c r="L104" s="11"/>
    </row>
    <row r="105" spans="2:12" ht="15.75" customHeight="1">
      <c r="B105" s="11"/>
      <c r="C105" s="11"/>
      <c r="D105" s="11"/>
      <c r="E105" s="11"/>
      <c r="F105" s="11"/>
      <c r="G105" s="11"/>
      <c r="H105" s="11"/>
      <c r="I105" s="11"/>
      <c r="J105" s="11"/>
      <c r="K105" s="11"/>
      <c r="L105" s="11"/>
    </row>
    <row r="106" spans="2:12" ht="15.75" customHeight="1">
      <c r="B106" s="11"/>
      <c r="C106" s="11"/>
      <c r="D106" s="11"/>
      <c r="E106" s="11"/>
      <c r="F106" s="11"/>
      <c r="G106" s="11"/>
      <c r="H106" s="11"/>
      <c r="I106" s="11"/>
      <c r="J106" s="11"/>
      <c r="K106" s="11"/>
      <c r="L106" s="11"/>
    </row>
    <row r="107" spans="2:12" ht="15.75" customHeight="1">
      <c r="B107" s="11"/>
      <c r="C107" s="11"/>
      <c r="D107" s="11"/>
      <c r="E107" s="11"/>
      <c r="F107" s="11"/>
      <c r="G107" s="11"/>
      <c r="H107" s="11"/>
      <c r="I107" s="11"/>
      <c r="J107" s="11"/>
      <c r="K107" s="11"/>
      <c r="L107" s="11"/>
    </row>
    <row r="108" spans="2:12" ht="15.75" customHeight="1">
      <c r="B108" s="11"/>
      <c r="C108" s="11"/>
      <c r="D108" s="11"/>
      <c r="E108" s="11"/>
      <c r="F108" s="11"/>
      <c r="G108" s="11"/>
      <c r="H108" s="11"/>
      <c r="I108" s="11"/>
      <c r="J108" s="11"/>
      <c r="K108" s="11"/>
      <c r="L108" s="11"/>
    </row>
    <row r="109" spans="2:12" ht="15.75" customHeight="1">
      <c r="B109" s="11"/>
      <c r="C109" s="11"/>
      <c r="D109" s="11"/>
      <c r="E109" s="11"/>
      <c r="F109" s="11"/>
      <c r="G109" s="11"/>
      <c r="H109" s="11"/>
      <c r="I109" s="11"/>
      <c r="J109" s="11"/>
      <c r="K109" s="11"/>
      <c r="L109" s="11"/>
    </row>
    <row r="110" spans="2:12" ht="15.75" customHeight="1">
      <c r="B110" s="11"/>
      <c r="C110" s="11"/>
      <c r="D110" s="11"/>
      <c r="E110" s="11"/>
      <c r="F110" s="11"/>
      <c r="G110" s="11"/>
      <c r="H110" s="11"/>
      <c r="I110" s="11"/>
      <c r="J110" s="11"/>
      <c r="K110" s="11"/>
      <c r="L110" s="11"/>
    </row>
    <row r="111" spans="2:12" ht="15.75" customHeight="1">
      <c r="B111" s="11"/>
      <c r="C111" s="11"/>
      <c r="D111" s="11"/>
      <c r="E111" s="11"/>
      <c r="F111" s="11"/>
      <c r="G111" s="11"/>
      <c r="H111" s="11"/>
      <c r="I111" s="11"/>
      <c r="J111" s="11"/>
      <c r="K111" s="11"/>
      <c r="L111" s="11"/>
    </row>
    <row r="112" spans="2:12" ht="15.75" customHeight="1">
      <c r="B112" s="11"/>
      <c r="C112" s="11"/>
      <c r="D112" s="11"/>
      <c r="E112" s="11"/>
      <c r="F112" s="11"/>
      <c r="G112" s="11"/>
      <c r="H112" s="11"/>
      <c r="I112" s="11"/>
      <c r="J112" s="11"/>
      <c r="K112" s="11"/>
      <c r="L112" s="11"/>
    </row>
    <row r="113" spans="2:12" ht="15.75" customHeight="1">
      <c r="B113" s="11"/>
      <c r="C113" s="11"/>
      <c r="D113" s="11"/>
      <c r="E113" s="11"/>
      <c r="F113" s="11"/>
      <c r="G113" s="11"/>
      <c r="H113" s="11"/>
      <c r="I113" s="11"/>
      <c r="J113" s="11"/>
      <c r="K113" s="11"/>
      <c r="L113" s="11"/>
    </row>
    <row r="114" spans="2:12" ht="15.75" customHeight="1">
      <c r="B114" s="11"/>
      <c r="C114" s="11"/>
      <c r="D114" s="11"/>
      <c r="E114" s="11"/>
      <c r="F114" s="11"/>
      <c r="G114" s="11"/>
      <c r="H114" s="11"/>
      <c r="I114" s="11"/>
      <c r="J114" s="11"/>
      <c r="K114" s="11"/>
      <c r="L114" s="11"/>
    </row>
    <row r="115" spans="2:12" ht="15.75" customHeight="1">
      <c r="B115" s="11"/>
      <c r="C115" s="11"/>
      <c r="D115" s="11"/>
      <c r="E115" s="11"/>
      <c r="F115" s="11"/>
      <c r="G115" s="11"/>
      <c r="H115" s="11"/>
      <c r="I115" s="11"/>
      <c r="J115" s="11"/>
      <c r="K115" s="11"/>
      <c r="L115" s="11"/>
    </row>
    <row r="116" spans="2:12" ht="15.75" customHeight="1">
      <c r="B116" s="11"/>
      <c r="C116" s="11"/>
      <c r="D116" s="11"/>
      <c r="E116" s="11"/>
      <c r="F116" s="11"/>
      <c r="G116" s="11"/>
      <c r="H116" s="11"/>
      <c r="I116" s="11"/>
      <c r="J116" s="11"/>
      <c r="K116" s="11"/>
      <c r="L116" s="11"/>
    </row>
    <row r="117" spans="2:12" ht="15.75" customHeight="1">
      <c r="B117" s="11"/>
      <c r="C117" s="11"/>
      <c r="D117" s="11"/>
      <c r="E117" s="11"/>
      <c r="F117" s="11"/>
      <c r="G117" s="11"/>
      <c r="H117" s="11"/>
      <c r="I117" s="11"/>
      <c r="J117" s="11"/>
      <c r="K117" s="11"/>
      <c r="L117" s="11"/>
    </row>
    <row r="118" spans="2:12" ht="15.75" customHeight="1">
      <c r="B118" s="11"/>
      <c r="C118" s="11"/>
      <c r="D118" s="11"/>
      <c r="E118" s="11"/>
      <c r="F118" s="11"/>
      <c r="G118" s="11"/>
      <c r="H118" s="11"/>
      <c r="I118" s="11"/>
      <c r="J118" s="11"/>
      <c r="K118" s="11"/>
      <c r="L118" s="11"/>
    </row>
    <row r="119" spans="2:12" ht="15.75" customHeight="1">
      <c r="B119" s="11"/>
      <c r="C119" s="11"/>
      <c r="D119" s="11"/>
      <c r="E119" s="11"/>
      <c r="F119" s="11"/>
      <c r="G119" s="11"/>
      <c r="H119" s="11"/>
      <c r="I119" s="11"/>
      <c r="J119" s="11"/>
      <c r="K119" s="11"/>
      <c r="L119" s="11"/>
    </row>
    <row r="120" spans="2:12" ht="15.75" customHeight="1">
      <c r="B120" s="11"/>
      <c r="C120" s="11"/>
      <c r="D120" s="11"/>
      <c r="E120" s="11"/>
      <c r="F120" s="11"/>
      <c r="G120" s="11"/>
      <c r="H120" s="11"/>
      <c r="I120" s="11"/>
      <c r="J120" s="11"/>
      <c r="K120" s="11"/>
      <c r="L120" s="11"/>
    </row>
    <row r="121" spans="2:12" ht="15.75" customHeight="1">
      <c r="B121" s="11"/>
      <c r="C121" s="11"/>
      <c r="D121" s="11"/>
      <c r="E121" s="11"/>
      <c r="F121" s="11"/>
      <c r="G121" s="11"/>
      <c r="H121" s="11"/>
      <c r="I121" s="11"/>
      <c r="J121" s="11"/>
      <c r="K121" s="11"/>
      <c r="L121" s="11"/>
    </row>
    <row r="122" spans="2:12" ht="15.75" customHeight="1">
      <c r="B122" s="11"/>
      <c r="C122" s="11"/>
      <c r="D122" s="11"/>
      <c r="E122" s="11"/>
      <c r="F122" s="11"/>
      <c r="G122" s="11"/>
      <c r="H122" s="11"/>
      <c r="I122" s="11"/>
      <c r="J122" s="11"/>
      <c r="K122" s="11"/>
      <c r="L122" s="11"/>
    </row>
    <row r="123" spans="2:12" ht="15.75" customHeight="1">
      <c r="B123" s="11"/>
      <c r="C123" s="11"/>
      <c r="D123" s="11"/>
      <c r="E123" s="11"/>
      <c r="F123" s="11"/>
      <c r="G123" s="11"/>
      <c r="H123" s="11"/>
      <c r="I123" s="11"/>
      <c r="J123" s="11"/>
      <c r="K123" s="11"/>
      <c r="L123" s="11"/>
    </row>
    <row r="124" spans="2:12" ht="15.75" customHeight="1">
      <c r="B124" s="11"/>
      <c r="C124" s="11"/>
      <c r="D124" s="11"/>
      <c r="E124" s="11"/>
      <c r="F124" s="11"/>
      <c r="G124" s="11"/>
      <c r="H124" s="11"/>
      <c r="I124" s="11"/>
      <c r="J124" s="11"/>
      <c r="K124" s="11"/>
      <c r="L124" s="11"/>
    </row>
    <row r="125" spans="2:12" ht="15.75" customHeight="1">
      <c r="B125" s="11"/>
      <c r="C125" s="11"/>
      <c r="D125" s="11"/>
      <c r="E125" s="11"/>
      <c r="F125" s="11"/>
      <c r="G125" s="11"/>
      <c r="H125" s="11"/>
      <c r="I125" s="11"/>
      <c r="J125" s="11"/>
      <c r="K125" s="11"/>
      <c r="L125" s="11"/>
    </row>
    <row r="126" spans="2:12" ht="15.75" customHeight="1">
      <c r="B126" s="11"/>
      <c r="C126" s="11"/>
      <c r="D126" s="11"/>
      <c r="E126" s="11"/>
      <c r="F126" s="11"/>
      <c r="G126" s="11"/>
      <c r="H126" s="11"/>
      <c r="I126" s="11"/>
      <c r="J126" s="11"/>
      <c r="K126" s="11"/>
      <c r="L126" s="11"/>
    </row>
    <row r="127" spans="2:12" ht="15.75" customHeight="1">
      <c r="B127" s="11"/>
      <c r="C127" s="11"/>
      <c r="D127" s="11"/>
      <c r="E127" s="11"/>
      <c r="F127" s="11"/>
      <c r="G127" s="11"/>
      <c r="H127" s="11"/>
      <c r="I127" s="11"/>
      <c r="J127" s="11"/>
      <c r="K127" s="11"/>
      <c r="L127" s="11"/>
    </row>
    <row r="128" spans="2:12" ht="15.75" customHeight="1">
      <c r="B128" s="11"/>
      <c r="C128" s="11"/>
      <c r="D128" s="11"/>
      <c r="E128" s="11"/>
      <c r="F128" s="11"/>
      <c r="G128" s="11"/>
      <c r="H128" s="11"/>
      <c r="I128" s="11"/>
      <c r="J128" s="11"/>
      <c r="K128" s="11"/>
      <c r="L128" s="11"/>
    </row>
    <row r="129" spans="2:12" ht="15.75" customHeight="1">
      <c r="B129" s="11"/>
      <c r="C129" s="11"/>
      <c r="D129" s="11"/>
      <c r="E129" s="11"/>
      <c r="F129" s="11"/>
      <c r="G129" s="11"/>
      <c r="H129" s="11"/>
      <c r="I129" s="11"/>
      <c r="J129" s="11"/>
      <c r="K129" s="11"/>
      <c r="L129" s="11"/>
    </row>
    <row r="130" spans="2:12" ht="15.75" customHeight="1">
      <c r="B130" s="11"/>
      <c r="C130" s="11"/>
      <c r="D130" s="11"/>
      <c r="E130" s="11"/>
      <c r="F130" s="11"/>
      <c r="G130" s="11"/>
      <c r="H130" s="11"/>
      <c r="I130" s="11"/>
      <c r="J130" s="11"/>
      <c r="K130" s="11"/>
      <c r="L130" s="11"/>
    </row>
    <row r="131" spans="2:12" ht="15.75" customHeight="1">
      <c r="B131" s="11"/>
      <c r="C131" s="11"/>
      <c r="D131" s="11"/>
      <c r="E131" s="11"/>
      <c r="F131" s="11"/>
      <c r="G131" s="11"/>
      <c r="H131" s="11"/>
      <c r="I131" s="11"/>
      <c r="J131" s="11"/>
      <c r="K131" s="11"/>
      <c r="L131" s="11"/>
    </row>
    <row r="132" spans="2:12" ht="15.75" customHeight="1">
      <c r="B132" s="11"/>
      <c r="C132" s="11"/>
      <c r="D132" s="11"/>
      <c r="E132" s="11"/>
      <c r="F132" s="11"/>
      <c r="G132" s="11"/>
      <c r="H132" s="11"/>
      <c r="I132" s="11"/>
      <c r="J132" s="11"/>
      <c r="K132" s="11"/>
      <c r="L132" s="11"/>
    </row>
    <row r="133" spans="2:12" ht="15.75" customHeight="1">
      <c r="B133" s="11"/>
      <c r="C133" s="11"/>
      <c r="D133" s="11"/>
      <c r="E133" s="11"/>
      <c r="F133" s="11"/>
      <c r="G133" s="11"/>
      <c r="H133" s="11"/>
      <c r="I133" s="11"/>
      <c r="J133" s="11"/>
      <c r="K133" s="11"/>
      <c r="L133" s="11"/>
    </row>
    <row r="134" spans="2:12" ht="15.75" customHeight="1">
      <c r="B134" s="11"/>
      <c r="C134" s="11"/>
      <c r="D134" s="11"/>
      <c r="E134" s="11"/>
      <c r="F134" s="11"/>
      <c r="G134" s="11"/>
      <c r="H134" s="11"/>
      <c r="I134" s="11"/>
      <c r="J134" s="11"/>
      <c r="K134" s="11"/>
      <c r="L134" s="11"/>
    </row>
    <row r="135" spans="2:12" ht="15.75" customHeight="1">
      <c r="B135" s="11"/>
      <c r="C135" s="11"/>
      <c r="D135" s="11"/>
      <c r="E135" s="11"/>
      <c r="F135" s="11"/>
      <c r="G135" s="11"/>
      <c r="H135" s="11"/>
      <c r="I135" s="11"/>
      <c r="J135" s="11"/>
      <c r="K135" s="11"/>
      <c r="L135" s="11"/>
    </row>
    <row r="136" spans="2:12" ht="15.75" customHeight="1">
      <c r="B136" s="11"/>
      <c r="C136" s="11"/>
      <c r="D136" s="11"/>
      <c r="E136" s="11"/>
      <c r="F136" s="11"/>
      <c r="G136" s="11"/>
      <c r="H136" s="11"/>
      <c r="I136" s="11"/>
      <c r="J136" s="11"/>
      <c r="K136" s="11"/>
      <c r="L136" s="11"/>
    </row>
    <row r="137" spans="2:12" ht="15.75" customHeight="1">
      <c r="B137" s="11"/>
      <c r="C137" s="11"/>
      <c r="D137" s="11"/>
      <c r="E137" s="11"/>
      <c r="F137" s="11"/>
      <c r="G137" s="11"/>
      <c r="H137" s="11"/>
      <c r="I137" s="11"/>
      <c r="J137" s="11"/>
      <c r="K137" s="11"/>
      <c r="L137" s="11"/>
    </row>
    <row r="138" spans="2:12" ht="15.75" customHeight="1">
      <c r="B138" s="11"/>
      <c r="C138" s="11"/>
      <c r="D138" s="11"/>
      <c r="E138" s="11"/>
      <c r="F138" s="11"/>
      <c r="G138" s="11"/>
      <c r="H138" s="11"/>
      <c r="I138" s="11"/>
      <c r="J138" s="11"/>
      <c r="K138" s="11"/>
      <c r="L138" s="11"/>
    </row>
    <row r="139" spans="2:12" ht="15.75" customHeight="1">
      <c r="B139" s="11"/>
      <c r="C139" s="11"/>
      <c r="D139" s="11"/>
      <c r="E139" s="11"/>
      <c r="F139" s="11"/>
      <c r="G139" s="11"/>
      <c r="H139" s="11"/>
      <c r="I139" s="11"/>
      <c r="J139" s="11"/>
      <c r="K139" s="11"/>
      <c r="L139" s="11"/>
    </row>
    <row r="140" spans="2:12" ht="15.75" customHeight="1">
      <c r="B140" s="11"/>
      <c r="C140" s="11"/>
      <c r="D140" s="11"/>
      <c r="E140" s="11"/>
      <c r="F140" s="11"/>
      <c r="G140" s="11"/>
      <c r="H140" s="11"/>
      <c r="I140" s="11"/>
      <c r="J140" s="11"/>
      <c r="K140" s="11"/>
      <c r="L140" s="11"/>
    </row>
    <row r="141" spans="2:12" ht="15.75" customHeight="1">
      <c r="B141" s="11"/>
      <c r="C141" s="11"/>
      <c r="D141" s="11"/>
      <c r="E141" s="11"/>
      <c r="F141" s="11"/>
      <c r="G141" s="11"/>
      <c r="H141" s="11"/>
      <c r="I141" s="11"/>
      <c r="J141" s="11"/>
      <c r="K141" s="11"/>
      <c r="L141" s="11"/>
    </row>
    <row r="142" spans="2:12" ht="15.75" customHeight="1">
      <c r="B142" s="11"/>
      <c r="C142" s="11"/>
      <c r="D142" s="11"/>
      <c r="E142" s="11"/>
      <c r="F142" s="11"/>
      <c r="G142" s="11"/>
      <c r="H142" s="11"/>
      <c r="I142" s="11"/>
      <c r="J142" s="11"/>
      <c r="K142" s="11"/>
      <c r="L142" s="11"/>
    </row>
    <row r="143" spans="2:12" ht="15.75" customHeight="1">
      <c r="B143" s="11"/>
      <c r="C143" s="11"/>
      <c r="D143" s="11"/>
      <c r="E143" s="11"/>
      <c r="F143" s="11"/>
      <c r="G143" s="11"/>
      <c r="H143" s="11"/>
      <c r="I143" s="11"/>
      <c r="J143" s="11"/>
      <c r="K143" s="11"/>
      <c r="L143" s="11"/>
    </row>
    <row r="144" spans="2:12" ht="15.75" customHeight="1">
      <c r="B144" s="11"/>
      <c r="C144" s="11"/>
      <c r="D144" s="11"/>
      <c r="E144" s="11"/>
      <c r="F144" s="11"/>
      <c r="G144" s="11"/>
      <c r="H144" s="11"/>
      <c r="I144" s="11"/>
      <c r="J144" s="11"/>
      <c r="K144" s="11"/>
      <c r="L144" s="11"/>
    </row>
    <row r="145" spans="2:12" ht="15.75" customHeight="1">
      <c r="B145" s="11"/>
      <c r="C145" s="11"/>
      <c r="D145" s="11"/>
      <c r="E145" s="11"/>
      <c r="F145" s="11"/>
      <c r="G145" s="11"/>
      <c r="H145" s="11"/>
      <c r="I145" s="11"/>
      <c r="J145" s="11"/>
      <c r="K145" s="11"/>
      <c r="L145" s="11"/>
    </row>
    <row r="146" spans="2:12" ht="15.75" customHeight="1">
      <c r="B146" s="11"/>
      <c r="C146" s="11"/>
      <c r="D146" s="11"/>
      <c r="E146" s="11"/>
      <c r="F146" s="11"/>
      <c r="G146" s="11"/>
      <c r="H146" s="11"/>
      <c r="I146" s="11"/>
      <c r="J146" s="11"/>
      <c r="K146" s="11"/>
      <c r="L146" s="11"/>
    </row>
    <row r="147" spans="2:12" ht="15.75" customHeight="1">
      <c r="B147" s="11"/>
      <c r="C147" s="11"/>
      <c r="D147" s="11"/>
      <c r="E147" s="11"/>
      <c r="F147" s="11"/>
      <c r="G147" s="11"/>
      <c r="H147" s="11"/>
      <c r="I147" s="11"/>
      <c r="J147" s="11"/>
      <c r="K147" s="11"/>
      <c r="L147" s="11"/>
    </row>
    <row r="148" spans="2:12" ht="15.75" customHeight="1">
      <c r="B148" s="11"/>
      <c r="C148" s="11"/>
      <c r="D148" s="11"/>
      <c r="E148" s="11"/>
      <c r="F148" s="11"/>
      <c r="G148" s="11"/>
      <c r="H148" s="11"/>
      <c r="I148" s="11"/>
      <c r="J148" s="11"/>
      <c r="K148" s="11"/>
      <c r="L148" s="11"/>
    </row>
    <row r="149" spans="2:12" ht="15.75" customHeight="1">
      <c r="B149" s="11"/>
      <c r="C149" s="11"/>
      <c r="D149" s="11"/>
      <c r="E149" s="11"/>
      <c r="F149" s="11"/>
      <c r="G149" s="11"/>
      <c r="H149" s="11"/>
      <c r="I149" s="11"/>
      <c r="J149" s="11"/>
      <c r="K149" s="11"/>
      <c r="L149" s="11"/>
    </row>
    <row r="150" spans="2:12" ht="15.75" customHeight="1">
      <c r="B150" s="11"/>
      <c r="C150" s="11"/>
      <c r="D150" s="11"/>
      <c r="E150" s="11"/>
      <c r="F150" s="11"/>
      <c r="G150" s="11"/>
      <c r="H150" s="11"/>
      <c r="I150" s="11"/>
      <c r="J150" s="11"/>
      <c r="K150" s="11"/>
      <c r="L150" s="11"/>
    </row>
    <row r="151" spans="2:12" ht="15.75" customHeight="1">
      <c r="B151" s="11"/>
      <c r="C151" s="11"/>
      <c r="D151" s="11"/>
      <c r="E151" s="11"/>
      <c r="F151" s="11"/>
      <c r="G151" s="11"/>
      <c r="H151" s="11"/>
      <c r="I151" s="11"/>
      <c r="J151" s="11"/>
      <c r="K151" s="11"/>
      <c r="L151" s="11"/>
    </row>
    <row r="152" spans="2:12" ht="15.75" customHeight="1">
      <c r="B152" s="11"/>
      <c r="C152" s="11"/>
      <c r="D152" s="11"/>
      <c r="E152" s="11"/>
      <c r="F152" s="11"/>
      <c r="G152" s="11"/>
      <c r="H152" s="11"/>
      <c r="I152" s="11"/>
      <c r="J152" s="11"/>
      <c r="K152" s="11"/>
      <c r="L152" s="11"/>
    </row>
    <row r="153" spans="2:12" ht="15.75" customHeight="1">
      <c r="B153" s="11"/>
      <c r="C153" s="11"/>
      <c r="D153" s="11"/>
      <c r="E153" s="11"/>
      <c r="F153" s="11"/>
      <c r="G153" s="11"/>
      <c r="H153" s="11"/>
      <c r="I153" s="11"/>
      <c r="J153" s="11"/>
      <c r="K153" s="11"/>
      <c r="L153" s="11"/>
    </row>
    <row r="154" spans="2:12" ht="15.75" customHeight="1">
      <c r="B154" s="11"/>
      <c r="C154" s="11"/>
      <c r="D154" s="11"/>
      <c r="E154" s="11"/>
      <c r="F154" s="11"/>
      <c r="G154" s="11"/>
      <c r="H154" s="11"/>
      <c r="I154" s="11"/>
      <c r="J154" s="11"/>
      <c r="K154" s="11"/>
      <c r="L154" s="11"/>
    </row>
    <row r="155" spans="2:12" ht="15.75" customHeight="1">
      <c r="B155" s="11"/>
      <c r="C155" s="11"/>
      <c r="D155" s="11"/>
      <c r="E155" s="11"/>
      <c r="F155" s="11"/>
      <c r="G155" s="11"/>
      <c r="H155" s="11"/>
      <c r="I155" s="11"/>
      <c r="J155" s="11"/>
      <c r="K155" s="11"/>
      <c r="L155" s="11"/>
    </row>
    <row r="156" spans="2:12" ht="15.75" customHeight="1">
      <c r="B156" s="11"/>
      <c r="C156" s="11"/>
      <c r="D156" s="11"/>
      <c r="E156" s="11"/>
      <c r="F156" s="11"/>
      <c r="G156" s="11"/>
      <c r="H156" s="11"/>
      <c r="I156" s="11"/>
      <c r="J156" s="11"/>
      <c r="K156" s="11"/>
      <c r="L156" s="11"/>
    </row>
    <row r="157" spans="2:12" ht="15.75" customHeight="1">
      <c r="B157" s="11"/>
      <c r="C157" s="11"/>
      <c r="D157" s="11"/>
      <c r="E157" s="11"/>
      <c r="F157" s="11"/>
      <c r="G157" s="11"/>
      <c r="H157" s="11"/>
      <c r="I157" s="11"/>
      <c r="J157" s="11"/>
      <c r="K157" s="11"/>
      <c r="L157" s="11"/>
    </row>
    <row r="158" spans="2:12" ht="15.75" customHeight="1">
      <c r="B158" s="11"/>
      <c r="C158" s="11"/>
      <c r="D158" s="11"/>
      <c r="E158" s="11"/>
      <c r="F158" s="11"/>
      <c r="G158" s="11"/>
      <c r="H158" s="11"/>
      <c r="I158" s="11"/>
      <c r="J158" s="11"/>
      <c r="K158" s="11"/>
      <c r="L158" s="11"/>
    </row>
    <row r="159" spans="2:12" ht="15.75" customHeight="1">
      <c r="B159" s="11"/>
      <c r="C159" s="11"/>
      <c r="D159" s="11"/>
      <c r="E159" s="11"/>
      <c r="F159" s="11"/>
      <c r="G159" s="11"/>
      <c r="H159" s="11"/>
      <c r="I159" s="11"/>
      <c r="J159" s="11"/>
      <c r="K159" s="11"/>
      <c r="L159" s="11"/>
    </row>
    <row r="160" spans="2:12" ht="15.75" customHeight="1">
      <c r="B160" s="11"/>
      <c r="C160" s="11"/>
      <c r="D160" s="11"/>
      <c r="E160" s="11"/>
      <c r="F160" s="11"/>
      <c r="G160" s="11"/>
      <c r="H160" s="11"/>
      <c r="I160" s="11"/>
      <c r="J160" s="11"/>
      <c r="K160" s="11"/>
      <c r="L160" s="11"/>
    </row>
    <row r="161" spans="2:12" ht="15.75" customHeight="1">
      <c r="B161" s="11"/>
      <c r="C161" s="11"/>
      <c r="D161" s="11"/>
      <c r="E161" s="11"/>
      <c r="F161" s="11"/>
      <c r="G161" s="11"/>
      <c r="H161" s="11"/>
      <c r="I161" s="11"/>
      <c r="J161" s="11"/>
      <c r="K161" s="11"/>
      <c r="L161" s="11"/>
    </row>
    <row r="162" spans="2:12" ht="15.75" customHeight="1">
      <c r="B162" s="11"/>
      <c r="C162" s="11"/>
      <c r="D162" s="11"/>
      <c r="E162" s="11"/>
      <c r="F162" s="11"/>
      <c r="G162" s="11"/>
      <c r="H162" s="11"/>
      <c r="I162" s="11"/>
      <c r="J162" s="11"/>
      <c r="K162" s="11"/>
      <c r="L162" s="11"/>
    </row>
    <row r="163" spans="2:12" ht="15.75" customHeight="1">
      <c r="B163" s="11"/>
      <c r="C163" s="11"/>
      <c r="D163" s="11"/>
      <c r="E163" s="11"/>
      <c r="F163" s="11"/>
      <c r="G163" s="11"/>
      <c r="H163" s="11"/>
      <c r="I163" s="11"/>
      <c r="J163" s="11"/>
      <c r="K163" s="11"/>
      <c r="L163" s="11"/>
    </row>
    <row r="164" spans="2:12" ht="15.75" customHeight="1">
      <c r="B164" s="11"/>
      <c r="C164" s="11"/>
      <c r="D164" s="11"/>
      <c r="E164" s="11"/>
      <c r="F164" s="11"/>
      <c r="G164" s="11"/>
      <c r="H164" s="11"/>
      <c r="I164" s="11"/>
      <c r="J164" s="11"/>
      <c r="K164" s="11"/>
      <c r="L164" s="11"/>
    </row>
    <row r="165" spans="2:12" ht="15.75" customHeight="1">
      <c r="B165" s="11"/>
      <c r="C165" s="11"/>
      <c r="D165" s="11"/>
      <c r="E165" s="11"/>
      <c r="F165" s="11"/>
      <c r="G165" s="11"/>
      <c r="H165" s="11"/>
      <c r="I165" s="11"/>
      <c r="J165" s="11"/>
      <c r="K165" s="11"/>
      <c r="L165" s="11"/>
    </row>
    <row r="166" spans="2:12" ht="15.75" customHeight="1">
      <c r="B166" s="11"/>
      <c r="C166" s="11"/>
      <c r="D166" s="11"/>
      <c r="E166" s="11"/>
      <c r="F166" s="11"/>
      <c r="G166" s="11"/>
      <c r="H166" s="11"/>
      <c r="I166" s="11"/>
      <c r="J166" s="11"/>
      <c r="K166" s="11"/>
      <c r="L166" s="11"/>
    </row>
    <row r="167" spans="2:12" ht="15.75" customHeight="1">
      <c r="B167" s="11"/>
      <c r="C167" s="11"/>
      <c r="D167" s="11"/>
      <c r="E167" s="11"/>
      <c r="F167" s="11"/>
      <c r="G167" s="11"/>
      <c r="H167" s="11"/>
      <c r="I167" s="11"/>
      <c r="J167" s="11"/>
      <c r="K167" s="11"/>
      <c r="L167" s="11"/>
    </row>
    <row r="168" spans="2:12" ht="15.75" customHeight="1">
      <c r="B168" s="11"/>
      <c r="C168" s="11"/>
      <c r="D168" s="11"/>
      <c r="E168" s="11"/>
      <c r="F168" s="11"/>
      <c r="G168" s="11"/>
      <c r="H168" s="11"/>
      <c r="I168" s="11"/>
      <c r="J168" s="11"/>
      <c r="K168" s="11"/>
      <c r="L168" s="11"/>
    </row>
    <row r="169" spans="2:12" ht="15.75" customHeight="1">
      <c r="B169" s="11"/>
      <c r="C169" s="11"/>
      <c r="D169" s="11"/>
      <c r="E169" s="11"/>
      <c r="F169" s="11"/>
      <c r="G169" s="11"/>
      <c r="H169" s="11"/>
      <c r="I169" s="11"/>
      <c r="J169" s="11"/>
      <c r="K169" s="11"/>
      <c r="L169" s="11"/>
    </row>
    <row r="170" spans="2:12" ht="15.75" customHeight="1">
      <c r="B170" s="11"/>
      <c r="C170" s="11"/>
      <c r="D170" s="11"/>
      <c r="E170" s="11"/>
      <c r="F170" s="11"/>
      <c r="G170" s="11"/>
      <c r="H170" s="11"/>
      <c r="I170" s="11"/>
      <c r="J170" s="11"/>
      <c r="K170" s="11"/>
      <c r="L170" s="11"/>
    </row>
    <row r="171" spans="2:12" ht="15.75" customHeight="1">
      <c r="B171" s="11"/>
      <c r="C171" s="11"/>
      <c r="D171" s="11"/>
      <c r="E171" s="11"/>
      <c r="F171" s="11"/>
      <c r="G171" s="11"/>
      <c r="H171" s="11"/>
      <c r="I171" s="11"/>
      <c r="J171" s="11"/>
      <c r="K171" s="11"/>
      <c r="L171" s="11"/>
    </row>
    <row r="172" spans="2:12" ht="15.75" customHeight="1">
      <c r="B172" s="11"/>
      <c r="C172" s="11"/>
      <c r="D172" s="11"/>
      <c r="E172" s="11"/>
      <c r="F172" s="11"/>
      <c r="G172" s="11"/>
      <c r="H172" s="11"/>
      <c r="I172" s="11"/>
      <c r="J172" s="11"/>
      <c r="K172" s="11"/>
      <c r="L172" s="11"/>
    </row>
    <row r="173" spans="2:12" ht="15.75" customHeight="1">
      <c r="B173" s="11"/>
      <c r="C173" s="11"/>
      <c r="D173" s="11"/>
      <c r="E173" s="11"/>
      <c r="F173" s="11"/>
      <c r="G173" s="11"/>
      <c r="H173" s="11"/>
      <c r="I173" s="11"/>
      <c r="J173" s="11"/>
      <c r="K173" s="11"/>
      <c r="L173" s="11"/>
    </row>
    <row r="174" spans="2:12" ht="15.75" customHeight="1">
      <c r="B174" s="11"/>
      <c r="C174" s="11"/>
      <c r="D174" s="11"/>
      <c r="E174" s="11"/>
      <c r="F174" s="11"/>
      <c r="G174" s="11"/>
      <c r="H174" s="11"/>
      <c r="I174" s="11"/>
      <c r="J174" s="11"/>
      <c r="K174" s="11"/>
      <c r="L174" s="11"/>
    </row>
    <row r="175" spans="2:12" ht="15.75" customHeight="1">
      <c r="B175" s="11"/>
      <c r="C175" s="11"/>
      <c r="D175" s="11"/>
      <c r="E175" s="11"/>
      <c r="F175" s="11"/>
      <c r="G175" s="11"/>
      <c r="H175" s="11"/>
      <c r="I175" s="11"/>
      <c r="J175" s="11"/>
      <c r="K175" s="11"/>
      <c r="L175" s="11"/>
    </row>
    <row r="176" spans="2:12" ht="15.75" customHeight="1">
      <c r="B176" s="11"/>
      <c r="C176" s="11"/>
      <c r="D176" s="11"/>
      <c r="E176" s="11"/>
      <c r="F176" s="11"/>
      <c r="G176" s="11"/>
      <c r="H176" s="11"/>
      <c r="I176" s="11"/>
      <c r="J176" s="11"/>
      <c r="K176" s="11"/>
      <c r="L176" s="11"/>
    </row>
    <row r="177" spans="2:12" ht="15.75" customHeight="1">
      <c r="B177" s="11"/>
      <c r="C177" s="11"/>
      <c r="D177" s="11"/>
      <c r="E177" s="11"/>
      <c r="F177" s="11"/>
      <c r="G177" s="11"/>
      <c r="H177" s="11"/>
      <c r="I177" s="11"/>
      <c r="J177" s="11"/>
      <c r="K177" s="11"/>
      <c r="L177" s="11"/>
    </row>
    <row r="178" spans="2:12" ht="15.75" customHeight="1">
      <c r="B178" s="11"/>
      <c r="C178" s="11"/>
      <c r="D178" s="11"/>
      <c r="E178" s="11"/>
      <c r="F178" s="11"/>
      <c r="G178" s="11"/>
      <c r="H178" s="11"/>
      <c r="I178" s="11"/>
      <c r="J178" s="11"/>
      <c r="K178" s="11"/>
      <c r="L178" s="11"/>
    </row>
    <row r="179" spans="2:12" ht="15.75" customHeight="1">
      <c r="B179" s="11"/>
      <c r="C179" s="11"/>
      <c r="D179" s="11"/>
      <c r="E179" s="11"/>
      <c r="F179" s="11"/>
      <c r="G179" s="11"/>
      <c r="H179" s="11"/>
      <c r="I179" s="11"/>
      <c r="J179" s="11"/>
      <c r="K179" s="11"/>
      <c r="L179" s="11"/>
    </row>
    <row r="180" spans="2:12" ht="15.75" customHeight="1">
      <c r="B180" s="11"/>
      <c r="C180" s="11"/>
      <c r="D180" s="11"/>
      <c r="E180" s="11"/>
      <c r="F180" s="11"/>
      <c r="G180" s="11"/>
      <c r="H180" s="11"/>
      <c r="I180" s="11"/>
      <c r="J180" s="11"/>
      <c r="K180" s="11"/>
      <c r="L180" s="11"/>
    </row>
    <row r="181" spans="2:12" ht="15.75" customHeight="1">
      <c r="B181" s="11"/>
      <c r="C181" s="11"/>
      <c r="D181" s="11"/>
      <c r="E181" s="11"/>
      <c r="F181" s="11"/>
      <c r="G181" s="11"/>
      <c r="H181" s="11"/>
      <c r="I181" s="11"/>
      <c r="J181" s="11"/>
      <c r="K181" s="11"/>
      <c r="L181" s="11"/>
    </row>
    <row r="182" spans="2:12" ht="15.75" customHeight="1">
      <c r="B182" s="11"/>
      <c r="C182" s="11"/>
      <c r="D182" s="11"/>
      <c r="E182" s="11"/>
      <c r="F182" s="11"/>
      <c r="G182" s="11"/>
      <c r="H182" s="11"/>
      <c r="I182" s="11"/>
      <c r="J182" s="11"/>
      <c r="K182" s="11"/>
      <c r="L182" s="11"/>
    </row>
    <row r="183" spans="2:12" ht="15.75" customHeight="1">
      <c r="B183" s="11"/>
      <c r="C183" s="11"/>
      <c r="D183" s="11"/>
      <c r="E183" s="11"/>
      <c r="F183" s="11"/>
      <c r="G183" s="11"/>
      <c r="H183" s="11"/>
      <c r="I183" s="11"/>
      <c r="J183" s="11"/>
      <c r="K183" s="11"/>
      <c r="L183" s="11"/>
    </row>
    <row r="184" spans="2:12" ht="15.75" customHeight="1">
      <c r="B184" s="11"/>
      <c r="C184" s="11"/>
      <c r="D184" s="11"/>
      <c r="E184" s="11"/>
      <c r="F184" s="11"/>
      <c r="G184" s="11"/>
      <c r="H184" s="11"/>
      <c r="I184" s="11"/>
      <c r="J184" s="11"/>
      <c r="K184" s="11"/>
      <c r="L184" s="11"/>
    </row>
    <row r="185" spans="2:12" ht="15.75" customHeight="1">
      <c r="B185" s="11"/>
      <c r="C185" s="11"/>
      <c r="D185" s="11"/>
      <c r="E185" s="11"/>
      <c r="F185" s="11"/>
      <c r="G185" s="11"/>
      <c r="H185" s="11"/>
      <c r="I185" s="11"/>
      <c r="J185" s="11"/>
      <c r="K185" s="11"/>
      <c r="L185" s="11"/>
    </row>
    <row r="186" spans="2:12" ht="15.75" customHeight="1">
      <c r="B186" s="11"/>
      <c r="C186" s="11"/>
      <c r="D186" s="11"/>
      <c r="E186" s="11"/>
      <c r="F186" s="11"/>
      <c r="G186" s="11"/>
      <c r="H186" s="11"/>
      <c r="I186" s="11"/>
      <c r="J186" s="11"/>
      <c r="K186" s="11"/>
      <c r="L186" s="11"/>
    </row>
    <row r="187" spans="2:12" ht="15.75" customHeight="1">
      <c r="B187" s="11"/>
      <c r="C187" s="11"/>
      <c r="D187" s="11"/>
      <c r="E187" s="11"/>
      <c r="F187" s="11"/>
      <c r="G187" s="11"/>
      <c r="H187" s="11"/>
      <c r="I187" s="11"/>
      <c r="J187" s="11"/>
      <c r="K187" s="11"/>
      <c r="L187" s="11"/>
    </row>
    <row r="188" spans="2:12" ht="15.75" customHeight="1">
      <c r="B188" s="11"/>
      <c r="C188" s="11"/>
      <c r="D188" s="11"/>
      <c r="E188" s="11"/>
      <c r="F188" s="11"/>
      <c r="G188" s="11"/>
      <c r="H188" s="11"/>
      <c r="I188" s="11"/>
      <c r="J188" s="11"/>
      <c r="K188" s="11"/>
      <c r="L188" s="11"/>
    </row>
    <row r="189" spans="2:12" ht="15.75" customHeight="1">
      <c r="B189" s="11"/>
      <c r="C189" s="11"/>
      <c r="D189" s="11"/>
      <c r="E189" s="11"/>
      <c r="F189" s="11"/>
      <c r="G189" s="11"/>
      <c r="H189" s="11"/>
      <c r="I189" s="11"/>
      <c r="J189" s="11"/>
      <c r="K189" s="11"/>
      <c r="L189" s="11"/>
    </row>
    <row r="190" spans="2:12" ht="15.75" customHeight="1">
      <c r="B190" s="11"/>
      <c r="C190" s="11"/>
      <c r="D190" s="11"/>
      <c r="E190" s="11"/>
      <c r="F190" s="11"/>
      <c r="G190" s="11"/>
      <c r="H190" s="11"/>
      <c r="I190" s="11"/>
      <c r="J190" s="11"/>
      <c r="K190" s="11"/>
      <c r="L190" s="11"/>
    </row>
    <row r="191" spans="2:12" ht="15.75" customHeight="1">
      <c r="B191" s="11"/>
      <c r="C191" s="11"/>
      <c r="D191" s="11"/>
      <c r="E191" s="11"/>
      <c r="F191" s="11"/>
      <c r="G191" s="11"/>
      <c r="H191" s="11"/>
      <c r="I191" s="11"/>
      <c r="J191" s="11"/>
      <c r="K191" s="11"/>
      <c r="L191" s="11"/>
    </row>
    <row r="192" spans="2:12" ht="15.75" customHeight="1">
      <c r="B192" s="11"/>
      <c r="C192" s="11"/>
      <c r="D192" s="11"/>
      <c r="E192" s="11"/>
      <c r="F192" s="11"/>
      <c r="G192" s="11"/>
      <c r="H192" s="11"/>
      <c r="I192" s="11"/>
      <c r="J192" s="11"/>
      <c r="K192" s="11"/>
      <c r="L192" s="11"/>
    </row>
    <row r="193" spans="2:12" ht="15.75" customHeight="1">
      <c r="B193" s="11"/>
      <c r="C193" s="11"/>
      <c r="D193" s="11"/>
      <c r="E193" s="11"/>
      <c r="F193" s="11"/>
      <c r="G193" s="11"/>
      <c r="H193" s="11"/>
      <c r="I193" s="11"/>
      <c r="J193" s="11"/>
      <c r="K193" s="11"/>
      <c r="L193" s="11"/>
    </row>
    <row r="194" spans="2:12" ht="15.75" customHeight="1">
      <c r="B194" s="11"/>
      <c r="C194" s="11"/>
      <c r="D194" s="11"/>
      <c r="E194" s="11"/>
      <c r="F194" s="11"/>
      <c r="G194" s="11"/>
      <c r="H194" s="11"/>
      <c r="I194" s="11"/>
      <c r="J194" s="11"/>
      <c r="K194" s="11"/>
      <c r="L194" s="11"/>
    </row>
    <row r="195" spans="2:12" ht="15.75" customHeight="1">
      <c r="B195" s="11"/>
      <c r="C195" s="11"/>
      <c r="D195" s="11"/>
      <c r="E195" s="11"/>
      <c r="F195" s="11"/>
      <c r="G195" s="11"/>
      <c r="H195" s="11"/>
      <c r="I195" s="11"/>
      <c r="J195" s="11"/>
      <c r="K195" s="11"/>
      <c r="L195" s="11"/>
    </row>
    <row r="196" spans="2:12" ht="15.75" customHeight="1">
      <c r="B196" s="11"/>
      <c r="C196" s="11"/>
      <c r="D196" s="11"/>
      <c r="E196" s="11"/>
      <c r="F196" s="11"/>
      <c r="G196" s="11"/>
      <c r="H196" s="11"/>
      <c r="I196" s="11"/>
      <c r="J196" s="11"/>
      <c r="K196" s="11"/>
      <c r="L196" s="11"/>
    </row>
    <row r="197" spans="2:12" ht="15.75" customHeight="1">
      <c r="B197" s="11"/>
      <c r="C197" s="11"/>
      <c r="D197" s="11"/>
      <c r="E197" s="11"/>
      <c r="F197" s="11"/>
      <c r="G197" s="11"/>
      <c r="H197" s="11"/>
      <c r="I197" s="11"/>
      <c r="J197" s="11"/>
      <c r="K197" s="11"/>
      <c r="L197" s="11"/>
    </row>
    <row r="198" spans="2:12" ht="15.75" customHeight="1">
      <c r="B198" s="11"/>
      <c r="C198" s="11"/>
      <c r="D198" s="11"/>
      <c r="E198" s="11"/>
      <c r="F198" s="11"/>
      <c r="G198" s="11"/>
      <c r="H198" s="11"/>
      <c r="I198" s="11"/>
      <c r="J198" s="11"/>
      <c r="K198" s="11"/>
      <c r="L198" s="11"/>
    </row>
    <row r="199" spans="2:12" ht="15.75" customHeight="1">
      <c r="B199" s="11"/>
      <c r="C199" s="11"/>
      <c r="D199" s="11"/>
      <c r="E199" s="11"/>
      <c r="F199" s="11"/>
      <c r="G199" s="11"/>
      <c r="H199" s="11"/>
      <c r="I199" s="11"/>
      <c r="J199" s="11"/>
      <c r="K199" s="11"/>
      <c r="L199" s="11"/>
    </row>
    <row r="200" spans="2:12" ht="15.75" customHeight="1">
      <c r="B200" s="11"/>
      <c r="C200" s="11"/>
      <c r="D200" s="11"/>
      <c r="E200" s="11"/>
      <c r="F200" s="11"/>
      <c r="G200" s="11"/>
      <c r="H200" s="11"/>
      <c r="I200" s="11"/>
      <c r="J200" s="11"/>
      <c r="K200" s="11"/>
      <c r="L200" s="11"/>
    </row>
    <row r="201" spans="2:12" ht="15.75" customHeight="1">
      <c r="B201" s="11"/>
      <c r="C201" s="11"/>
      <c r="D201" s="11"/>
      <c r="E201" s="11"/>
      <c r="F201" s="11"/>
      <c r="G201" s="11"/>
      <c r="H201" s="11"/>
      <c r="I201" s="11"/>
      <c r="J201" s="11"/>
      <c r="K201" s="11"/>
      <c r="L201" s="11"/>
    </row>
    <row r="202" spans="2:12" ht="15.75" customHeight="1">
      <c r="B202" s="11"/>
      <c r="C202" s="11"/>
      <c r="D202" s="11"/>
      <c r="E202" s="11"/>
      <c r="F202" s="11"/>
      <c r="G202" s="11"/>
      <c r="H202" s="11"/>
      <c r="I202" s="11"/>
      <c r="J202" s="11"/>
      <c r="K202" s="11"/>
      <c r="L202" s="11"/>
    </row>
    <row r="203" spans="2:12" ht="15.75" customHeight="1">
      <c r="B203" s="11"/>
      <c r="C203" s="11"/>
      <c r="D203" s="11"/>
      <c r="E203" s="11"/>
      <c r="F203" s="11"/>
      <c r="G203" s="11"/>
      <c r="H203" s="11"/>
      <c r="I203" s="11"/>
      <c r="J203" s="11"/>
      <c r="K203" s="11"/>
      <c r="L203" s="11"/>
    </row>
    <row r="204" spans="2:12" ht="15.75" customHeight="1">
      <c r="B204" s="11"/>
      <c r="C204" s="11"/>
      <c r="D204" s="11"/>
      <c r="E204" s="11"/>
      <c r="F204" s="11"/>
      <c r="G204" s="11"/>
      <c r="H204" s="11"/>
      <c r="I204" s="11"/>
      <c r="J204" s="11"/>
      <c r="K204" s="11"/>
      <c r="L204" s="11"/>
    </row>
    <row r="205" spans="2:12" ht="15.75" customHeight="1">
      <c r="B205" s="11"/>
      <c r="C205" s="11"/>
      <c r="D205" s="11"/>
      <c r="E205" s="11"/>
      <c r="F205" s="11"/>
      <c r="G205" s="11"/>
      <c r="H205" s="11"/>
      <c r="I205" s="11"/>
      <c r="J205" s="11"/>
      <c r="K205" s="11"/>
      <c r="L205" s="11"/>
    </row>
    <row r="206" spans="2:12" ht="15.75" customHeight="1">
      <c r="B206" s="11"/>
      <c r="C206" s="11"/>
      <c r="D206" s="11"/>
      <c r="E206" s="11"/>
      <c r="F206" s="11"/>
      <c r="G206" s="11"/>
      <c r="H206" s="11"/>
      <c r="I206" s="11"/>
      <c r="J206" s="11"/>
      <c r="K206" s="11"/>
      <c r="L206" s="11"/>
    </row>
    <row r="207" spans="2:12" ht="15.75" customHeight="1">
      <c r="B207" s="11"/>
      <c r="C207" s="11"/>
      <c r="D207" s="11"/>
      <c r="E207" s="11"/>
      <c r="F207" s="11"/>
      <c r="G207" s="11"/>
      <c r="H207" s="11"/>
      <c r="I207" s="11"/>
      <c r="J207" s="11"/>
      <c r="K207" s="11"/>
      <c r="L207" s="11"/>
    </row>
    <row r="208" spans="2:12" ht="15.75" customHeight="1">
      <c r="B208" s="11"/>
      <c r="C208" s="11"/>
      <c r="D208" s="11"/>
      <c r="E208" s="11"/>
      <c r="F208" s="11"/>
      <c r="G208" s="11"/>
      <c r="H208" s="11"/>
      <c r="I208" s="11"/>
      <c r="J208" s="11"/>
      <c r="K208" s="11"/>
      <c r="L208" s="11"/>
    </row>
    <row r="209" spans="2:12" ht="15.75" customHeight="1">
      <c r="B209" s="11"/>
      <c r="C209" s="11"/>
      <c r="D209" s="11"/>
      <c r="E209" s="11"/>
      <c r="F209" s="11"/>
      <c r="G209" s="11"/>
      <c r="H209" s="11"/>
      <c r="I209" s="11"/>
      <c r="J209" s="11"/>
      <c r="K209" s="11"/>
      <c r="L209" s="11"/>
    </row>
    <row r="210" spans="2:12" ht="15.75" customHeight="1">
      <c r="B210" s="11"/>
      <c r="C210" s="11"/>
      <c r="D210" s="11"/>
      <c r="E210" s="11"/>
      <c r="F210" s="11"/>
      <c r="G210" s="11"/>
      <c r="H210" s="11"/>
      <c r="I210" s="11"/>
      <c r="J210" s="11"/>
      <c r="K210" s="11"/>
      <c r="L210" s="11"/>
    </row>
    <row r="211" spans="2:12" ht="15.75" customHeight="1">
      <c r="B211" s="11"/>
      <c r="C211" s="11"/>
      <c r="D211" s="11"/>
      <c r="E211" s="11"/>
      <c r="F211" s="11"/>
      <c r="G211" s="11"/>
      <c r="H211" s="11"/>
      <c r="I211" s="11"/>
      <c r="J211" s="11"/>
      <c r="K211" s="11"/>
      <c r="L211" s="11"/>
    </row>
    <row r="212" spans="2:12" ht="15.75" customHeight="1">
      <c r="B212" s="11"/>
      <c r="C212" s="11"/>
      <c r="D212" s="11"/>
      <c r="E212" s="11"/>
      <c r="F212" s="11"/>
      <c r="G212" s="11"/>
      <c r="H212" s="11"/>
      <c r="I212" s="11"/>
      <c r="J212" s="11"/>
      <c r="K212" s="11"/>
      <c r="L212" s="11"/>
    </row>
    <row r="213" spans="2:12" ht="15.75" customHeight="1">
      <c r="B213" s="11"/>
      <c r="C213" s="11"/>
      <c r="D213" s="11"/>
      <c r="E213" s="11"/>
      <c r="F213" s="11"/>
      <c r="G213" s="11"/>
      <c r="H213" s="11"/>
      <c r="I213" s="11"/>
      <c r="J213" s="11"/>
      <c r="K213" s="11"/>
      <c r="L213" s="11"/>
    </row>
    <row r="214" spans="2:12" ht="15.75" customHeight="1">
      <c r="B214" s="11"/>
      <c r="C214" s="11"/>
      <c r="D214" s="11"/>
      <c r="E214" s="11"/>
      <c r="F214" s="11"/>
      <c r="G214" s="11"/>
      <c r="H214" s="11"/>
      <c r="I214" s="11"/>
      <c r="J214" s="11"/>
      <c r="K214" s="11"/>
      <c r="L214" s="11"/>
    </row>
    <row r="215" spans="2:12" ht="15.75" customHeight="1">
      <c r="B215" s="11"/>
      <c r="C215" s="11"/>
      <c r="D215" s="11"/>
      <c r="E215" s="11"/>
      <c r="F215" s="11"/>
      <c r="G215" s="11"/>
      <c r="H215" s="11"/>
      <c r="I215" s="11"/>
      <c r="J215" s="11"/>
      <c r="K215" s="11"/>
      <c r="L215" s="11"/>
    </row>
    <row r="216" spans="2:12" ht="15.75" customHeight="1">
      <c r="B216" s="11"/>
      <c r="C216" s="11"/>
      <c r="D216" s="11"/>
      <c r="E216" s="11"/>
      <c r="F216" s="11"/>
      <c r="G216" s="11"/>
      <c r="H216" s="11"/>
      <c r="I216" s="11"/>
      <c r="J216" s="11"/>
      <c r="K216" s="11"/>
      <c r="L216" s="11"/>
    </row>
    <row r="217" spans="2:12" ht="15.75" customHeight="1">
      <c r="B217" s="11"/>
      <c r="C217" s="11"/>
      <c r="D217" s="11"/>
      <c r="E217" s="11"/>
      <c r="F217" s="11"/>
      <c r="G217" s="11"/>
      <c r="H217" s="11"/>
      <c r="I217" s="11"/>
      <c r="J217" s="11"/>
      <c r="K217" s="11"/>
      <c r="L217" s="11"/>
    </row>
    <row r="218" spans="2:12" ht="15.75" customHeight="1">
      <c r="B218" s="11"/>
      <c r="C218" s="11"/>
      <c r="D218" s="11"/>
      <c r="E218" s="11"/>
      <c r="F218" s="11"/>
      <c r="G218" s="11"/>
      <c r="H218" s="11"/>
      <c r="I218" s="11"/>
      <c r="J218" s="11"/>
      <c r="K218" s="11"/>
      <c r="L218" s="11"/>
    </row>
    <row r="219" spans="2:12" ht="15.75" customHeight="1">
      <c r="B219" s="11"/>
      <c r="C219" s="11"/>
      <c r="D219" s="11"/>
      <c r="E219" s="11"/>
      <c r="F219" s="11"/>
      <c r="G219" s="11"/>
      <c r="H219" s="11"/>
      <c r="I219" s="11"/>
      <c r="J219" s="11"/>
      <c r="K219" s="11"/>
      <c r="L219" s="11"/>
    </row>
    <row r="220" spans="2:12" ht="15.75" customHeight="1">
      <c r="B220" s="11"/>
      <c r="C220" s="11"/>
      <c r="D220" s="11"/>
      <c r="E220" s="11"/>
      <c r="F220" s="11"/>
      <c r="G220" s="11"/>
      <c r="H220" s="11"/>
      <c r="I220" s="11"/>
      <c r="J220" s="11"/>
      <c r="K220" s="11"/>
      <c r="L220" s="11"/>
    </row>
    <row r="221" spans="2:12" ht="15.75" customHeight="1">
      <c r="B221" s="11"/>
      <c r="C221" s="11"/>
      <c r="D221" s="11"/>
      <c r="E221" s="11"/>
      <c r="F221" s="11"/>
      <c r="G221" s="11"/>
      <c r="H221" s="11"/>
      <c r="I221" s="11"/>
      <c r="J221" s="11"/>
      <c r="K221" s="11"/>
      <c r="L221" s="11"/>
    </row>
    <row r="222" spans="2:12" ht="15.75" customHeight="1">
      <c r="B222" s="11"/>
      <c r="C222" s="11"/>
      <c r="D222" s="11"/>
      <c r="E222" s="11"/>
      <c r="F222" s="11"/>
      <c r="G222" s="11"/>
      <c r="H222" s="11"/>
      <c r="I222" s="11"/>
      <c r="J222" s="11"/>
      <c r="K222" s="11"/>
      <c r="L222" s="11"/>
    </row>
    <row r="223" spans="2:12" ht="15.75" customHeight="1">
      <c r="B223" s="11"/>
      <c r="C223" s="11"/>
      <c r="D223" s="11"/>
      <c r="E223" s="11"/>
      <c r="F223" s="11"/>
      <c r="G223" s="11"/>
      <c r="H223" s="11"/>
      <c r="I223" s="11"/>
      <c r="J223" s="11"/>
      <c r="K223" s="11"/>
      <c r="L223" s="11"/>
    </row>
    <row r="224" spans="2:12" ht="15.75" customHeight="1">
      <c r="B224" s="11"/>
      <c r="C224" s="11"/>
      <c r="D224" s="11"/>
      <c r="E224" s="11"/>
      <c r="F224" s="11"/>
      <c r="G224" s="11"/>
      <c r="H224" s="11"/>
      <c r="I224" s="11"/>
      <c r="J224" s="11"/>
      <c r="K224" s="11"/>
      <c r="L224" s="11"/>
    </row>
    <row r="225" spans="2:12" ht="15.75" customHeight="1">
      <c r="B225" s="11"/>
      <c r="C225" s="11"/>
      <c r="D225" s="11"/>
      <c r="E225" s="11"/>
      <c r="F225" s="11"/>
      <c r="G225" s="11"/>
      <c r="H225" s="11"/>
      <c r="I225" s="11"/>
      <c r="J225" s="11"/>
      <c r="K225" s="11"/>
      <c r="L225" s="11"/>
    </row>
    <row r="226" spans="2:12" ht="15.75" customHeight="1">
      <c r="B226" s="11"/>
      <c r="C226" s="11"/>
      <c r="D226" s="11"/>
      <c r="E226" s="11"/>
      <c r="F226" s="11"/>
      <c r="G226" s="11"/>
      <c r="H226" s="11"/>
      <c r="I226" s="11"/>
      <c r="J226" s="11"/>
      <c r="K226" s="11"/>
      <c r="L226" s="11"/>
    </row>
    <row r="227" spans="2:12" ht="15.75" customHeight="1">
      <c r="B227" s="11"/>
      <c r="C227" s="11"/>
      <c r="D227" s="11"/>
      <c r="E227" s="11"/>
      <c r="F227" s="11"/>
      <c r="G227" s="11"/>
      <c r="H227" s="11"/>
      <c r="I227" s="11"/>
      <c r="J227" s="11"/>
      <c r="K227" s="11"/>
      <c r="L227" s="11"/>
    </row>
    <row r="228" spans="2:12" ht="15.75" customHeight="1">
      <c r="B228" s="11"/>
      <c r="C228" s="11"/>
      <c r="D228" s="11"/>
      <c r="E228" s="11"/>
      <c r="F228" s="11"/>
      <c r="G228" s="11"/>
      <c r="H228" s="11"/>
      <c r="I228" s="11"/>
      <c r="J228" s="11"/>
      <c r="K228" s="11"/>
      <c r="L228" s="11"/>
    </row>
    <row r="229" spans="2:12" ht="15.75" customHeight="1">
      <c r="B229" s="11"/>
      <c r="C229" s="11"/>
      <c r="D229" s="11"/>
      <c r="E229" s="11"/>
      <c r="F229" s="11"/>
      <c r="G229" s="11"/>
      <c r="H229" s="11"/>
      <c r="I229" s="11"/>
      <c r="J229" s="11"/>
      <c r="K229" s="11"/>
      <c r="L229" s="11"/>
    </row>
    <row r="230" spans="2:12" ht="15.75" customHeight="1">
      <c r="B230" s="11"/>
      <c r="C230" s="11"/>
      <c r="D230" s="11"/>
      <c r="E230" s="11"/>
      <c r="F230" s="11"/>
      <c r="G230" s="11"/>
      <c r="H230" s="11"/>
      <c r="I230" s="11"/>
      <c r="J230" s="11"/>
      <c r="K230" s="11"/>
      <c r="L230" s="11"/>
    </row>
    <row r="231" spans="2:12" ht="15.75" customHeight="1">
      <c r="B231" s="11"/>
      <c r="C231" s="11"/>
      <c r="D231" s="11"/>
      <c r="E231" s="11"/>
      <c r="F231" s="11"/>
      <c r="G231" s="11"/>
      <c r="H231" s="11"/>
      <c r="I231" s="11"/>
      <c r="J231" s="11"/>
      <c r="K231" s="11"/>
      <c r="L231" s="11"/>
    </row>
    <row r="232" spans="2:12" ht="15.75" customHeight="1">
      <c r="B232" s="11"/>
      <c r="C232" s="11"/>
      <c r="D232" s="11"/>
      <c r="E232" s="11"/>
      <c r="F232" s="11"/>
      <c r="G232" s="11"/>
      <c r="H232" s="11"/>
      <c r="I232" s="11"/>
      <c r="J232" s="11"/>
      <c r="K232" s="11"/>
      <c r="L232" s="11"/>
    </row>
    <row r="233" spans="2:12" ht="15.75" customHeight="1">
      <c r="B233" s="11"/>
      <c r="C233" s="11"/>
      <c r="D233" s="11"/>
      <c r="E233" s="11"/>
      <c r="F233" s="11"/>
      <c r="G233" s="11"/>
      <c r="H233" s="11"/>
      <c r="I233" s="11"/>
      <c r="J233" s="11"/>
      <c r="K233" s="11"/>
      <c r="L233" s="11"/>
    </row>
    <row r="234" spans="2:12" ht="15.75" customHeight="1">
      <c r="B234" s="11"/>
      <c r="C234" s="11"/>
      <c r="D234" s="11"/>
      <c r="E234" s="11"/>
      <c r="F234" s="11"/>
      <c r="G234" s="11"/>
      <c r="H234" s="11"/>
      <c r="I234" s="11"/>
      <c r="J234" s="11"/>
      <c r="K234" s="11"/>
      <c r="L234" s="11"/>
    </row>
    <row r="235" spans="2:12" ht="15.75" customHeight="1">
      <c r="B235" s="11"/>
      <c r="C235" s="11"/>
      <c r="D235" s="11"/>
      <c r="E235" s="11"/>
      <c r="F235" s="11"/>
      <c r="G235" s="11"/>
      <c r="H235" s="11"/>
      <c r="I235" s="11"/>
      <c r="J235" s="11"/>
      <c r="K235" s="11"/>
      <c r="L235" s="11"/>
    </row>
    <row r="236" spans="2:12" ht="15.75" customHeight="1">
      <c r="B236" s="11"/>
      <c r="C236" s="11"/>
      <c r="D236" s="11"/>
      <c r="E236" s="11"/>
      <c r="F236" s="11"/>
      <c r="G236" s="11"/>
      <c r="H236" s="11"/>
      <c r="I236" s="11"/>
      <c r="J236" s="11"/>
      <c r="K236" s="11"/>
      <c r="L236" s="11"/>
    </row>
    <row r="237" spans="2:12" ht="15.75" customHeight="1">
      <c r="B237" s="11"/>
      <c r="C237" s="11"/>
      <c r="D237" s="11"/>
      <c r="E237" s="11"/>
      <c r="F237" s="11"/>
      <c r="G237" s="11"/>
      <c r="H237" s="11"/>
      <c r="I237" s="11"/>
      <c r="J237" s="11"/>
      <c r="K237" s="11"/>
      <c r="L237" s="11"/>
    </row>
    <row r="238" spans="2:12" ht="15.75" customHeight="1">
      <c r="B238" s="11"/>
      <c r="C238" s="11"/>
      <c r="D238" s="11"/>
      <c r="E238" s="11"/>
      <c r="F238" s="11"/>
      <c r="G238" s="11"/>
      <c r="H238" s="11"/>
      <c r="I238" s="11"/>
      <c r="J238" s="11"/>
      <c r="K238" s="11"/>
      <c r="L238" s="11"/>
    </row>
    <row r="239" spans="2:12" ht="15.75" customHeight="1"/>
    <row r="240" spans="2:12"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
    <mergeCell ref="E8:E9"/>
  </mergeCells>
  <printOptions horizontalCentered="1" gridLines="1"/>
  <pageMargins left="0.7" right="0.7" top="0.75" bottom="0.75" header="0" footer="0"/>
  <pageSetup fitToHeight="0" pageOrder="overThenDown" orientation="landscape" cellComments="atEnd"/>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pageSetUpPr fitToPage="1"/>
  </sheetPr>
  <dimension ref="A1:AA999"/>
  <sheetViews>
    <sheetView workbookViewId="0">
      <pane ySplit="1" topLeftCell="A24" activePane="bottomLeft" state="frozen"/>
      <selection pane="bottomLeft" sqref="A1:XFD1"/>
    </sheetView>
  </sheetViews>
  <sheetFormatPr defaultColWidth="12.609375" defaultRowHeight="15" customHeight="1"/>
  <cols>
    <col min="1" max="1" width="3.609375" customWidth="1"/>
    <col min="2" max="3" width="12.609375" customWidth="1"/>
    <col min="4" max="4" width="18.38671875" customWidth="1"/>
    <col min="5" max="5" width="16.38671875" customWidth="1"/>
    <col min="6" max="8" width="15.38671875" customWidth="1"/>
    <col min="13" max="13" width="40.88671875" customWidth="1"/>
  </cols>
  <sheetData>
    <row r="1" spans="1:27" ht="15.75" customHeight="1">
      <c r="A1" s="4"/>
      <c r="B1" s="12" t="s">
        <v>29</v>
      </c>
      <c r="C1" s="8" t="s">
        <v>37</v>
      </c>
      <c r="D1" s="8" t="s">
        <v>36</v>
      </c>
      <c r="E1" s="13" t="s">
        <v>175</v>
      </c>
      <c r="F1" s="8" t="s">
        <v>176</v>
      </c>
      <c r="G1" s="13" t="s">
        <v>177</v>
      </c>
      <c r="H1" s="13" t="s">
        <v>178</v>
      </c>
      <c r="I1" s="13" t="s">
        <v>38</v>
      </c>
      <c r="J1" s="13" t="s">
        <v>32</v>
      </c>
      <c r="K1" s="13" t="s">
        <v>33</v>
      </c>
      <c r="L1" s="13" t="s">
        <v>34</v>
      </c>
      <c r="M1" s="14" t="s">
        <v>35</v>
      </c>
    </row>
    <row r="2" spans="1:27" ht="15.75" customHeight="1">
      <c r="A2" s="7">
        <v>1</v>
      </c>
      <c r="B2" s="15">
        <v>45984</v>
      </c>
      <c r="C2" s="16">
        <v>0.57291666666666663</v>
      </c>
      <c r="D2" s="18" t="str">
        <f>'112225'!D2</f>
        <v>RALPH BAKER 1</v>
      </c>
      <c r="E2" s="18"/>
      <c r="F2" s="18">
        <v>3</v>
      </c>
      <c r="G2" s="18">
        <v>10</v>
      </c>
      <c r="H2" s="18">
        <v>24</v>
      </c>
      <c r="I2" s="18">
        <v>29</v>
      </c>
      <c r="J2" s="18">
        <v>120</v>
      </c>
      <c r="K2" s="19"/>
      <c r="L2" s="18">
        <v>33</v>
      </c>
      <c r="M2" s="19" t="s">
        <v>39</v>
      </c>
    </row>
    <row r="3" spans="1:27" ht="15.75" customHeight="1">
      <c r="A3" s="20">
        <v>2</v>
      </c>
      <c r="B3" s="15">
        <v>45984</v>
      </c>
      <c r="C3" s="16">
        <v>0.57986111111111116</v>
      </c>
      <c r="D3" s="18" t="str">
        <f>'112225'!D3</f>
        <v>SALLY 1-12H</v>
      </c>
      <c r="E3" s="23"/>
      <c r="F3" s="18">
        <v>2</v>
      </c>
      <c r="G3" s="18">
        <v>6</v>
      </c>
      <c r="H3" s="18">
        <v>169</v>
      </c>
      <c r="I3" s="18">
        <v>190</v>
      </c>
      <c r="J3" s="18">
        <v>150</v>
      </c>
      <c r="K3" s="18">
        <v>30</v>
      </c>
      <c r="L3" s="18">
        <v>36</v>
      </c>
      <c r="M3" s="19" t="s">
        <v>39</v>
      </c>
      <c r="N3" s="26"/>
      <c r="O3" s="26"/>
      <c r="P3" s="26"/>
      <c r="Q3" s="26"/>
      <c r="R3" s="26"/>
      <c r="S3" s="26"/>
      <c r="T3" s="26"/>
      <c r="U3" s="26"/>
      <c r="V3" s="26"/>
      <c r="W3" s="26"/>
      <c r="X3" s="26"/>
      <c r="Y3" s="26"/>
      <c r="Z3" s="26"/>
      <c r="AA3" s="26"/>
    </row>
    <row r="4" spans="1:27" ht="15.75" customHeight="1">
      <c r="A4" s="20">
        <v>3</v>
      </c>
      <c r="B4" s="15">
        <v>45984</v>
      </c>
      <c r="C4" s="16">
        <v>0.58680555555555558</v>
      </c>
      <c r="D4" s="18" t="str">
        <f>'112225'!D4</f>
        <v>ANITA 1-13H</v>
      </c>
      <c r="E4" s="24"/>
      <c r="F4" s="18">
        <v>1</v>
      </c>
      <c r="G4" s="18">
        <v>0</v>
      </c>
      <c r="H4" s="18">
        <v>90</v>
      </c>
      <c r="I4" s="18">
        <v>93</v>
      </c>
      <c r="J4" s="18">
        <v>200</v>
      </c>
      <c r="K4" s="18">
        <v>50</v>
      </c>
      <c r="L4" s="18">
        <v>43</v>
      </c>
      <c r="M4" s="28" t="s">
        <v>39</v>
      </c>
      <c r="N4" s="26"/>
      <c r="O4" s="26"/>
      <c r="P4" s="26"/>
      <c r="Q4" s="26"/>
      <c r="R4" s="26"/>
      <c r="S4" s="26"/>
      <c r="T4" s="26"/>
      <c r="U4" s="26"/>
      <c r="V4" s="26"/>
      <c r="W4" s="26"/>
      <c r="X4" s="26"/>
      <c r="Y4" s="26"/>
      <c r="Z4" s="26"/>
      <c r="AA4" s="26"/>
    </row>
    <row r="5" spans="1:27" ht="15.75" customHeight="1">
      <c r="A5" s="7">
        <v>4</v>
      </c>
      <c r="B5" s="15">
        <v>45984</v>
      </c>
      <c r="C5" s="16">
        <v>0.59375</v>
      </c>
      <c r="D5" s="18" t="str">
        <f>'112225'!D5</f>
        <v>ARIANA 1-18H</v>
      </c>
      <c r="E5" s="18"/>
      <c r="F5" s="18">
        <v>2</v>
      </c>
      <c r="G5" s="18">
        <v>2</v>
      </c>
      <c r="H5" s="18">
        <v>124</v>
      </c>
      <c r="I5" s="18">
        <v>115</v>
      </c>
      <c r="J5" s="18">
        <v>150</v>
      </c>
      <c r="K5" s="18">
        <v>30</v>
      </c>
      <c r="L5" s="18">
        <v>43</v>
      </c>
      <c r="M5" s="19" t="s">
        <v>39</v>
      </c>
    </row>
    <row r="6" spans="1:27" ht="15.75" customHeight="1">
      <c r="A6" s="7">
        <v>5</v>
      </c>
      <c r="B6" s="15">
        <v>45984</v>
      </c>
      <c r="C6" s="16">
        <v>0.60416666666666663</v>
      </c>
      <c r="D6" s="18" t="str">
        <f>'112225'!D6</f>
        <v>CLAY 1-6H</v>
      </c>
      <c r="E6" s="18"/>
      <c r="F6" s="18">
        <v>2</v>
      </c>
      <c r="G6" s="18">
        <v>9</v>
      </c>
      <c r="H6" s="18">
        <v>231</v>
      </c>
      <c r="I6" s="18">
        <v>229</v>
      </c>
      <c r="J6" s="18">
        <v>150</v>
      </c>
      <c r="K6" s="18">
        <v>20</v>
      </c>
      <c r="L6" s="18">
        <v>37</v>
      </c>
      <c r="M6" s="19" t="s">
        <v>39</v>
      </c>
    </row>
    <row r="7" spans="1:27" ht="14.25" customHeight="1">
      <c r="A7" s="7">
        <v>6</v>
      </c>
      <c r="B7" s="15">
        <v>45984</v>
      </c>
      <c r="C7" s="16">
        <v>0.61111111111111116</v>
      </c>
      <c r="D7" s="18" t="str">
        <f>'112225'!D7</f>
        <v>ARIANA 1-7H</v>
      </c>
      <c r="E7" s="18"/>
      <c r="F7" s="18">
        <v>1</v>
      </c>
      <c r="G7" s="18">
        <v>10</v>
      </c>
      <c r="H7" s="18">
        <v>187</v>
      </c>
      <c r="I7" s="18">
        <v>206</v>
      </c>
      <c r="J7" s="18">
        <v>80</v>
      </c>
      <c r="K7" s="18">
        <v>50</v>
      </c>
      <c r="L7" s="18">
        <v>36</v>
      </c>
      <c r="M7" s="19" t="s">
        <v>39</v>
      </c>
    </row>
    <row r="8" spans="1:27" ht="25.5" customHeight="1">
      <c r="A8" s="7">
        <v>7</v>
      </c>
      <c r="B8" s="15">
        <v>45984</v>
      </c>
      <c r="C8" s="16">
        <v>0.61944444444444446</v>
      </c>
      <c r="D8" s="18" t="str">
        <f>'112225'!D8</f>
        <v>PEPPER 3-4H</v>
      </c>
      <c r="E8" s="49"/>
      <c r="F8" s="18">
        <v>1</v>
      </c>
      <c r="G8" s="18">
        <v>11</v>
      </c>
      <c r="H8" s="18">
        <v>140</v>
      </c>
      <c r="I8" s="18">
        <v>40</v>
      </c>
      <c r="J8" s="18">
        <v>130</v>
      </c>
      <c r="K8" s="18">
        <v>50</v>
      </c>
      <c r="L8" s="18">
        <v>32</v>
      </c>
      <c r="M8" s="19" t="s">
        <v>39</v>
      </c>
    </row>
    <row r="9" spans="1:27" ht="18.75" customHeight="1">
      <c r="A9" s="7">
        <v>8</v>
      </c>
      <c r="B9" s="15">
        <v>45984</v>
      </c>
      <c r="C9" s="16">
        <v>0.62291666666666667</v>
      </c>
      <c r="D9" s="18" t="str">
        <f>'112225'!D9</f>
        <v>PEPPER 4-4H</v>
      </c>
      <c r="E9" s="50"/>
      <c r="F9" s="18"/>
      <c r="G9" s="18"/>
      <c r="H9" s="18">
        <v>85</v>
      </c>
      <c r="I9" s="18">
        <v>97</v>
      </c>
      <c r="J9" s="18">
        <v>75</v>
      </c>
      <c r="K9" s="18">
        <v>30</v>
      </c>
      <c r="L9" s="18">
        <v>32</v>
      </c>
      <c r="M9" s="19" t="s">
        <v>39</v>
      </c>
    </row>
    <row r="10" spans="1:27" ht="15.75" customHeight="1">
      <c r="A10" s="20">
        <v>9</v>
      </c>
      <c r="B10" s="15">
        <v>45984</v>
      </c>
      <c r="C10" s="16">
        <v>0.64583333333333337</v>
      </c>
      <c r="D10" s="18" t="str">
        <f>'112225'!D10</f>
        <v>BIRD 3319 1-6</v>
      </c>
      <c r="E10" s="23"/>
      <c r="F10" s="18">
        <v>1</v>
      </c>
      <c r="G10" s="18">
        <v>7</v>
      </c>
      <c r="H10" s="18">
        <v>0</v>
      </c>
      <c r="I10" s="18">
        <v>0</v>
      </c>
      <c r="J10" s="18">
        <v>150</v>
      </c>
      <c r="K10" s="18">
        <v>50</v>
      </c>
      <c r="L10" s="18">
        <v>33</v>
      </c>
      <c r="M10" s="19" t="s">
        <v>39</v>
      </c>
      <c r="N10" s="26"/>
      <c r="O10" s="26"/>
      <c r="P10" s="26"/>
      <c r="Q10" s="26"/>
      <c r="R10" s="26"/>
      <c r="S10" s="26"/>
      <c r="T10" s="26"/>
      <c r="U10" s="26"/>
      <c r="V10" s="26"/>
      <c r="W10" s="26"/>
      <c r="X10" s="26"/>
      <c r="Y10" s="26"/>
      <c r="Z10" s="26"/>
      <c r="AA10" s="26"/>
    </row>
    <row r="11" spans="1:27" ht="15.75" customHeight="1">
      <c r="A11" s="7">
        <v>10</v>
      </c>
      <c r="B11" s="15">
        <v>45984</v>
      </c>
      <c r="C11" s="31"/>
      <c r="D11" s="18" t="str">
        <f>'112225'!D11</f>
        <v>BIRD 3319 3-6</v>
      </c>
      <c r="E11" s="18"/>
      <c r="F11" s="18"/>
      <c r="G11" s="18"/>
      <c r="H11" s="18">
        <v>39</v>
      </c>
      <c r="I11" s="18">
        <v>53</v>
      </c>
      <c r="J11" s="19"/>
      <c r="K11" s="19"/>
      <c r="L11" s="18">
        <v>34</v>
      </c>
      <c r="M11" s="19" t="s">
        <v>39</v>
      </c>
    </row>
    <row r="12" spans="1:27" ht="15.75" customHeight="1">
      <c r="A12" s="7">
        <v>11</v>
      </c>
      <c r="B12" s="15">
        <v>45984</v>
      </c>
      <c r="C12" s="31"/>
      <c r="D12" s="18" t="str">
        <f>'112225'!D12</f>
        <v>JELLISON A 11-5</v>
      </c>
      <c r="E12" s="18"/>
      <c r="F12" s="19">
        <v>1</v>
      </c>
      <c r="G12" s="19">
        <v>8</v>
      </c>
      <c r="H12" s="19"/>
      <c r="I12" s="19"/>
      <c r="J12" s="18">
        <v>10</v>
      </c>
      <c r="K12" s="18">
        <v>50</v>
      </c>
      <c r="L12" s="19"/>
      <c r="M12" s="4" t="s">
        <v>45</v>
      </c>
    </row>
    <row r="13" spans="1:27" ht="15.75" customHeight="1">
      <c r="A13" s="20">
        <v>12</v>
      </c>
      <c r="B13" s="15">
        <v>45984</v>
      </c>
      <c r="C13" s="16">
        <v>0.63541666666666663</v>
      </c>
      <c r="D13" s="18" t="str">
        <f>'112225'!D13</f>
        <v>ROCK 3319 1-16H</v>
      </c>
      <c r="E13" s="24"/>
      <c r="F13" s="19">
        <v>2</v>
      </c>
      <c r="G13" s="19">
        <v>2</v>
      </c>
      <c r="H13" s="19"/>
      <c r="I13" s="19"/>
      <c r="J13" s="19"/>
      <c r="K13" s="19"/>
      <c r="L13" s="19"/>
      <c r="M13" s="19"/>
      <c r="N13" s="26"/>
      <c r="O13" s="26"/>
      <c r="P13" s="26"/>
      <c r="Q13" s="26"/>
      <c r="R13" s="26"/>
      <c r="S13" s="26"/>
      <c r="T13" s="26"/>
      <c r="U13" s="26"/>
      <c r="V13" s="26"/>
      <c r="W13" s="26"/>
      <c r="X13" s="26"/>
      <c r="Y13" s="26"/>
      <c r="Z13" s="26"/>
      <c r="AA13" s="26"/>
    </row>
    <row r="14" spans="1:27" ht="15.75" customHeight="1">
      <c r="A14" s="7">
        <v>13</v>
      </c>
      <c r="B14" s="15">
        <v>45984</v>
      </c>
      <c r="C14" s="31"/>
      <c r="D14" s="18" t="str">
        <f>'112225'!D14</f>
        <v>Dixie 3120 1‐25 SWD</v>
      </c>
      <c r="E14" s="18"/>
      <c r="F14" s="19"/>
      <c r="G14" s="19"/>
      <c r="H14" s="19"/>
      <c r="I14" s="19"/>
      <c r="J14" s="19"/>
      <c r="K14" s="19"/>
      <c r="L14" s="19"/>
      <c r="M14" s="19"/>
    </row>
    <row r="15" spans="1:27" ht="15.75" customHeight="1">
      <c r="A15" s="7">
        <v>14</v>
      </c>
      <c r="B15" s="15">
        <v>45984</v>
      </c>
      <c r="C15" s="31"/>
      <c r="D15" s="18" t="str">
        <f>'112225'!D15</f>
        <v>GARLAND 1-26H</v>
      </c>
      <c r="E15" s="18"/>
      <c r="F15" s="19"/>
      <c r="G15" s="19"/>
      <c r="H15" s="19"/>
      <c r="I15" s="19"/>
      <c r="J15" s="19"/>
      <c r="K15" s="19"/>
      <c r="L15" s="19"/>
      <c r="M15" s="19"/>
    </row>
    <row r="16" spans="1:27" ht="15.75" customHeight="1">
      <c r="A16" s="7">
        <v>15</v>
      </c>
      <c r="B16" s="15">
        <v>45984</v>
      </c>
      <c r="C16" s="31"/>
      <c r="D16" s="18" t="str">
        <f>'112225'!D16</f>
        <v>PTL 1-15H</v>
      </c>
      <c r="E16" s="18"/>
      <c r="F16" s="19"/>
      <c r="G16" s="19"/>
      <c r="H16" s="19"/>
      <c r="I16" s="19"/>
      <c r="J16" s="19"/>
      <c r="K16" s="19"/>
      <c r="L16" s="19"/>
      <c r="M16" s="19"/>
    </row>
    <row r="17" spans="1:27" ht="15.75" customHeight="1">
      <c r="A17" s="7">
        <v>16</v>
      </c>
      <c r="B17" s="15">
        <v>45984</v>
      </c>
      <c r="C17" s="31"/>
      <c r="D17" s="18" t="str">
        <f>'112225'!D17</f>
        <v>GABRIEL 2-12H</v>
      </c>
      <c r="E17" s="18"/>
      <c r="F17" s="19"/>
      <c r="G17" s="19"/>
      <c r="H17" s="19"/>
      <c r="I17" s="19"/>
      <c r="J17" s="19"/>
      <c r="K17" s="19"/>
      <c r="L17" s="19"/>
      <c r="M17" s="19"/>
    </row>
    <row r="18" spans="1:27" ht="15.75" customHeight="1">
      <c r="A18" s="7">
        <v>17</v>
      </c>
      <c r="B18" s="15">
        <v>45984</v>
      </c>
      <c r="C18" s="31"/>
      <c r="D18" s="18" t="str">
        <f>'112225'!D18</f>
        <v>GABRIEL 1-12H</v>
      </c>
      <c r="E18" s="18"/>
      <c r="F18" s="19"/>
      <c r="G18" s="19"/>
      <c r="H18" s="19"/>
      <c r="I18" s="19"/>
      <c r="J18" s="19"/>
      <c r="K18" s="19"/>
      <c r="L18" s="19"/>
      <c r="M18" s="19"/>
    </row>
    <row r="19" spans="1:27" ht="15.75" customHeight="1">
      <c r="A19" s="7">
        <v>18</v>
      </c>
      <c r="B19" s="15">
        <v>45984</v>
      </c>
      <c r="C19" s="31"/>
      <c r="D19" s="18" t="str">
        <f>'112225'!D19</f>
        <v>SEAN 1-18H</v>
      </c>
      <c r="E19" s="18"/>
      <c r="F19" s="19"/>
      <c r="G19" s="19"/>
      <c r="H19" s="19"/>
      <c r="I19" s="19"/>
      <c r="J19" s="19"/>
      <c r="K19" s="19"/>
      <c r="L19" s="19"/>
      <c r="M19" s="19"/>
    </row>
    <row r="20" spans="1:27" ht="15.75" customHeight="1">
      <c r="A20" s="7">
        <v>19</v>
      </c>
      <c r="B20" s="15">
        <v>45984</v>
      </c>
      <c r="C20" s="31"/>
      <c r="D20" s="18" t="str">
        <f>'112225'!D20</f>
        <v>SEAN 3119 3-18H</v>
      </c>
      <c r="E20" s="18"/>
      <c r="F20" s="19"/>
      <c r="G20" s="19"/>
      <c r="H20" s="19"/>
      <c r="I20" s="19"/>
      <c r="J20" s="19"/>
      <c r="K20" s="19"/>
      <c r="L20" s="19"/>
      <c r="M20" s="19"/>
    </row>
    <row r="21" spans="1:27" ht="15.75" customHeight="1">
      <c r="A21" s="7">
        <v>20</v>
      </c>
      <c r="B21" s="15">
        <v>45984</v>
      </c>
      <c r="C21" s="31"/>
      <c r="D21" s="18" t="str">
        <f>'112225'!D21</f>
        <v>ELLIS 2-19H</v>
      </c>
      <c r="E21" s="18"/>
      <c r="F21" s="19"/>
      <c r="G21" s="19"/>
      <c r="H21" s="19"/>
      <c r="I21" s="19"/>
      <c r="J21" s="19"/>
      <c r="K21" s="19"/>
      <c r="L21" s="19"/>
      <c r="M21" s="19"/>
    </row>
    <row r="22" spans="1:27" ht="15.75" customHeight="1">
      <c r="A22" s="7">
        <v>21</v>
      </c>
      <c r="B22" s="15">
        <v>45984</v>
      </c>
      <c r="C22" s="31"/>
      <c r="D22" s="18" t="str">
        <f>'112225'!D22</f>
        <v>BROTHERS 1-6H</v>
      </c>
      <c r="E22" s="18"/>
      <c r="F22" s="19"/>
      <c r="G22" s="19"/>
      <c r="H22" s="19"/>
      <c r="I22" s="19"/>
      <c r="J22" s="19"/>
      <c r="K22" s="19"/>
      <c r="L22" s="19"/>
      <c r="M22" s="19"/>
    </row>
    <row r="23" spans="1:27" ht="15.75" customHeight="1">
      <c r="A23" s="7">
        <v>22</v>
      </c>
      <c r="B23" s="15">
        <v>45984</v>
      </c>
      <c r="C23" s="31"/>
      <c r="D23" s="18" t="str">
        <f>'112225'!D23</f>
        <v>BROTHERS 2-6H</v>
      </c>
      <c r="E23" s="18"/>
      <c r="F23" s="19"/>
      <c r="G23" s="19"/>
      <c r="H23" s="19"/>
      <c r="I23" s="19"/>
      <c r="J23" s="19"/>
      <c r="K23" s="19"/>
      <c r="L23" s="19"/>
      <c r="M23" s="19"/>
    </row>
    <row r="24" spans="1:27" ht="15.75" customHeight="1">
      <c r="A24" s="20">
        <v>23</v>
      </c>
      <c r="B24" s="15">
        <v>45984</v>
      </c>
      <c r="C24" s="16">
        <v>0.36458333333333331</v>
      </c>
      <c r="D24" s="18" t="str">
        <f>'112225'!D24</f>
        <v>SARAH 1-34H</v>
      </c>
      <c r="E24" s="23"/>
      <c r="F24" s="18">
        <v>3</v>
      </c>
      <c r="G24" s="18">
        <v>10</v>
      </c>
      <c r="H24" s="18">
        <v>832</v>
      </c>
      <c r="I24" s="18">
        <v>54.7</v>
      </c>
      <c r="J24" s="18">
        <v>50</v>
      </c>
      <c r="K24" s="18">
        <v>33.869999999999997</v>
      </c>
      <c r="L24" s="18">
        <v>50.2</v>
      </c>
      <c r="M24" s="28" t="s">
        <v>46</v>
      </c>
      <c r="N24" s="32"/>
      <c r="O24" s="26"/>
      <c r="P24" s="26"/>
      <c r="Q24" s="26"/>
      <c r="R24" s="26"/>
      <c r="S24" s="26"/>
      <c r="T24" s="26"/>
      <c r="U24" s="26"/>
      <c r="V24" s="26"/>
      <c r="W24" s="26"/>
      <c r="X24" s="26"/>
      <c r="Y24" s="26"/>
      <c r="Z24" s="26"/>
      <c r="AA24" s="26"/>
    </row>
    <row r="25" spans="1:27" ht="15.75" customHeight="1">
      <c r="A25" s="20">
        <v>24</v>
      </c>
      <c r="B25" s="15">
        <v>45984</v>
      </c>
      <c r="C25" s="16">
        <v>0.375</v>
      </c>
      <c r="D25" s="18" t="str">
        <f>'112225'!D25</f>
        <v>SARAH 2-34H</v>
      </c>
      <c r="E25" s="23"/>
      <c r="F25" s="18">
        <v>4</v>
      </c>
      <c r="G25" s="18">
        <v>0</v>
      </c>
      <c r="H25" s="18">
        <v>41.7</v>
      </c>
      <c r="I25" s="18">
        <v>71</v>
      </c>
      <c r="J25" s="19"/>
      <c r="K25" s="19"/>
      <c r="L25" s="18">
        <v>52.4</v>
      </c>
      <c r="M25" s="19"/>
      <c r="N25" s="32"/>
      <c r="O25" s="26"/>
      <c r="P25" s="26"/>
      <c r="Q25" s="26"/>
      <c r="R25" s="26"/>
      <c r="S25" s="26"/>
      <c r="T25" s="26"/>
      <c r="U25" s="26"/>
      <c r="V25" s="26"/>
      <c r="W25" s="26"/>
      <c r="X25" s="26"/>
      <c r="Y25" s="26"/>
      <c r="Z25" s="26"/>
      <c r="AA25" s="26"/>
    </row>
    <row r="26" spans="1:27" ht="15.75" customHeight="1">
      <c r="A26" s="7">
        <v>25</v>
      </c>
      <c r="B26" s="15">
        <v>45984</v>
      </c>
      <c r="C26" s="16">
        <v>0.40833333333333333</v>
      </c>
      <c r="D26" s="18" t="str">
        <f>'112225'!D26</f>
        <v>WANDA 1-2H 1L</v>
      </c>
      <c r="E26" s="5"/>
      <c r="F26" s="18">
        <v>4</v>
      </c>
      <c r="G26" s="18"/>
      <c r="H26" s="18">
        <v>234</v>
      </c>
      <c r="I26" s="18">
        <v>220</v>
      </c>
      <c r="J26" s="19"/>
      <c r="K26" s="19"/>
      <c r="L26" s="18">
        <v>50.32</v>
      </c>
      <c r="M26" s="19"/>
    </row>
    <row r="27" spans="1:27" ht="15.75" customHeight="1">
      <c r="A27" s="7">
        <v>26</v>
      </c>
      <c r="B27" s="15">
        <v>45984</v>
      </c>
      <c r="C27" s="29"/>
      <c r="D27" s="18" t="str">
        <f>'112225'!D27</f>
        <v>Yankee 3317 1-27 SWD</v>
      </c>
      <c r="E27" s="18"/>
      <c r="F27" s="18"/>
      <c r="G27" s="18"/>
      <c r="H27" s="18"/>
      <c r="I27" s="19"/>
      <c r="J27" s="19"/>
      <c r="K27" s="18"/>
      <c r="L27" s="19"/>
      <c r="M27" s="19"/>
    </row>
    <row r="28" spans="1:27" ht="15.75" customHeight="1">
      <c r="A28" s="7">
        <v>27</v>
      </c>
      <c r="B28" s="15"/>
      <c r="C28" s="18"/>
      <c r="D28" s="18"/>
      <c r="E28" s="18"/>
      <c r="F28" s="18"/>
      <c r="G28" s="18"/>
      <c r="H28" s="18"/>
      <c r="I28" s="18"/>
      <c r="J28" s="18"/>
      <c r="K28" s="18"/>
      <c r="L28" s="19"/>
      <c r="M28" s="19"/>
    </row>
    <row r="29" spans="1:27" ht="15.75" customHeight="1">
      <c r="A29" s="7">
        <v>28</v>
      </c>
      <c r="B29" s="15"/>
      <c r="C29" s="18"/>
      <c r="D29" s="18"/>
      <c r="E29" s="18"/>
      <c r="F29" s="18"/>
      <c r="G29" s="18"/>
      <c r="H29" s="18"/>
      <c r="I29" s="18"/>
      <c r="J29" s="18"/>
      <c r="K29" s="18"/>
      <c r="L29" s="18"/>
      <c r="M29" s="19"/>
    </row>
    <row r="30" spans="1:27" ht="15.75" customHeight="1">
      <c r="A30" s="7">
        <v>29</v>
      </c>
      <c r="B30" s="15"/>
      <c r="C30" s="18"/>
      <c r="D30" s="18"/>
      <c r="E30" s="18"/>
      <c r="F30" s="18"/>
      <c r="G30" s="18"/>
      <c r="H30" s="18"/>
      <c r="I30" s="18"/>
      <c r="J30" s="18"/>
      <c r="K30" s="18"/>
      <c r="L30" s="18"/>
      <c r="M30" s="19"/>
    </row>
    <row r="31" spans="1:27" ht="15.75" customHeight="1">
      <c r="A31" s="7">
        <v>30</v>
      </c>
      <c r="B31" s="15"/>
      <c r="C31" s="18"/>
      <c r="D31" s="18"/>
      <c r="E31" s="18"/>
      <c r="F31" s="18"/>
      <c r="G31" s="18"/>
      <c r="H31" s="18"/>
      <c r="I31" s="18"/>
      <c r="J31" s="18"/>
      <c r="K31" s="18"/>
      <c r="L31" s="18"/>
      <c r="M31" s="19"/>
    </row>
    <row r="32" spans="1:27" ht="15.75" customHeight="1">
      <c r="A32" s="7">
        <v>31</v>
      </c>
      <c r="B32" s="15"/>
      <c r="C32" s="18"/>
      <c r="D32" s="18"/>
      <c r="E32" s="18"/>
      <c r="F32" s="18"/>
      <c r="G32" s="18"/>
      <c r="H32" s="18"/>
      <c r="I32" s="18"/>
      <c r="J32" s="18"/>
      <c r="K32" s="18"/>
      <c r="L32" s="18"/>
      <c r="M32" s="19"/>
    </row>
    <row r="33" spans="1:13" ht="15.75" customHeight="1">
      <c r="A33" s="7">
        <v>32</v>
      </c>
      <c r="B33" s="15"/>
      <c r="C33" s="18"/>
      <c r="D33" s="18"/>
      <c r="E33" s="18"/>
      <c r="F33" s="18"/>
      <c r="G33" s="18"/>
      <c r="H33" s="18"/>
      <c r="I33" s="18"/>
      <c r="J33" s="18"/>
      <c r="K33" s="18"/>
      <c r="L33" s="18"/>
      <c r="M33" s="19"/>
    </row>
    <row r="34" spans="1:13" ht="15.75" customHeight="1">
      <c r="A34" s="7">
        <v>33</v>
      </c>
      <c r="B34" s="15"/>
      <c r="C34" s="18"/>
      <c r="D34" s="18"/>
      <c r="E34" s="18"/>
      <c r="F34" s="18"/>
      <c r="G34" s="18"/>
      <c r="H34" s="18"/>
      <c r="I34" s="18"/>
      <c r="J34" s="18"/>
      <c r="K34" s="18"/>
      <c r="L34" s="18"/>
      <c r="M34" s="19"/>
    </row>
    <row r="35" spans="1:13" ht="15.75" customHeight="1">
      <c r="A35" s="7">
        <v>34</v>
      </c>
      <c r="B35" s="15"/>
      <c r="C35" s="18"/>
      <c r="D35" s="18"/>
      <c r="E35" s="18"/>
      <c r="F35" s="18"/>
      <c r="G35" s="18"/>
      <c r="H35" s="18"/>
      <c r="I35" s="18"/>
      <c r="J35" s="18"/>
      <c r="K35" s="18"/>
      <c r="L35" s="18"/>
      <c r="M35" s="19"/>
    </row>
    <row r="36" spans="1:13" ht="15.75" customHeight="1">
      <c r="A36" s="7">
        <v>35</v>
      </c>
      <c r="B36" s="15"/>
      <c r="C36" s="18"/>
      <c r="D36" s="18"/>
      <c r="E36" s="18"/>
      <c r="F36" s="18"/>
      <c r="G36" s="18"/>
      <c r="H36" s="18"/>
      <c r="I36" s="18"/>
      <c r="J36" s="18"/>
      <c r="K36" s="18"/>
      <c r="L36" s="18"/>
      <c r="M36" s="19"/>
    </row>
    <row r="37" spans="1:13" ht="15.75" customHeight="1">
      <c r="A37" s="7">
        <v>36</v>
      </c>
      <c r="B37" s="15"/>
      <c r="C37" s="18"/>
      <c r="D37" s="18"/>
      <c r="E37" s="18"/>
      <c r="F37" s="18"/>
      <c r="G37" s="18"/>
      <c r="H37" s="18"/>
      <c r="I37" s="18"/>
      <c r="J37" s="18"/>
      <c r="K37" s="18"/>
      <c r="L37" s="18"/>
      <c r="M37" s="19"/>
    </row>
    <row r="38" spans="1:13" ht="15.75" customHeight="1">
      <c r="A38" s="4"/>
      <c r="B38" s="6"/>
      <c r="C38" s="11"/>
      <c r="D38" s="11"/>
      <c r="E38" s="11"/>
      <c r="F38" s="30"/>
      <c r="G38" s="30"/>
      <c r="H38" s="30">
        <f>SUM(H1:H37)</f>
        <v>2196.6999999999998</v>
      </c>
      <c r="I38" s="11"/>
      <c r="J38" s="11"/>
      <c r="K38" s="11"/>
      <c r="L38" s="11"/>
      <c r="M38" s="4"/>
    </row>
    <row r="39" spans="1:13" ht="15.75" customHeight="1">
      <c r="B39" s="11"/>
      <c r="C39" s="11"/>
      <c r="D39" s="11"/>
      <c r="E39" s="11"/>
      <c r="F39" s="11"/>
      <c r="G39" s="11"/>
      <c r="H39" s="11"/>
      <c r="I39" s="11"/>
      <c r="J39" s="11"/>
      <c r="K39" s="11"/>
      <c r="L39" s="11"/>
    </row>
    <row r="40" spans="1:13" ht="15.75" customHeight="1">
      <c r="B40" s="11"/>
      <c r="C40" s="11"/>
      <c r="D40" s="11"/>
      <c r="E40" s="11"/>
      <c r="F40" s="11"/>
      <c r="G40" s="11"/>
      <c r="H40" s="11"/>
      <c r="I40" s="11"/>
      <c r="J40" s="11"/>
      <c r="K40" s="11"/>
      <c r="L40" s="11"/>
    </row>
    <row r="41" spans="1:13" ht="15.75" customHeight="1">
      <c r="B41" s="11"/>
      <c r="C41" s="11"/>
      <c r="D41" s="11"/>
      <c r="E41" s="11"/>
      <c r="F41" s="11"/>
      <c r="G41" s="11"/>
      <c r="H41" s="11"/>
      <c r="I41" s="11"/>
      <c r="J41" s="11"/>
      <c r="K41" s="11"/>
      <c r="L41" s="11"/>
    </row>
    <row r="42" spans="1:13" ht="15.75" customHeight="1">
      <c r="B42" s="11"/>
      <c r="C42" s="11"/>
      <c r="D42" s="11"/>
      <c r="E42" s="11"/>
      <c r="F42" s="11"/>
      <c r="G42" s="11"/>
      <c r="H42" s="11"/>
      <c r="I42" s="11"/>
      <c r="J42" s="11"/>
      <c r="K42" s="11"/>
      <c r="L42" s="11"/>
    </row>
    <row r="43" spans="1:13" ht="15.75" customHeight="1">
      <c r="B43" s="11"/>
      <c r="C43" s="11"/>
      <c r="D43" s="11"/>
      <c r="E43" s="11"/>
      <c r="F43" s="11"/>
      <c r="G43" s="11"/>
      <c r="H43" s="11"/>
      <c r="I43" s="11"/>
      <c r="J43" s="11"/>
      <c r="K43" s="11"/>
      <c r="L43" s="11"/>
    </row>
    <row r="44" spans="1:13" ht="15.75" customHeight="1">
      <c r="B44" s="11"/>
      <c r="C44" s="11"/>
      <c r="D44" s="11"/>
      <c r="E44" s="11"/>
      <c r="F44" s="11"/>
      <c r="G44" s="11"/>
      <c r="H44" s="11"/>
      <c r="I44" s="11"/>
      <c r="J44" s="11"/>
      <c r="K44" s="11"/>
      <c r="L44" s="11"/>
    </row>
    <row r="45" spans="1:13" ht="15.75" customHeight="1">
      <c r="B45" s="11"/>
      <c r="C45" s="11"/>
      <c r="D45" s="11"/>
      <c r="E45" s="11"/>
      <c r="F45" s="11"/>
      <c r="G45" s="11"/>
      <c r="H45" s="11"/>
      <c r="I45" s="11"/>
      <c r="J45" s="11"/>
      <c r="K45" s="11"/>
      <c r="L45" s="11"/>
    </row>
    <row r="46" spans="1:13" ht="15.75" customHeight="1">
      <c r="B46" s="11"/>
      <c r="C46" s="11"/>
      <c r="D46" s="11"/>
      <c r="E46" s="11"/>
      <c r="F46" s="11"/>
      <c r="G46" s="11"/>
      <c r="H46" s="11"/>
      <c r="I46" s="11"/>
      <c r="J46" s="11"/>
      <c r="K46" s="11"/>
      <c r="L46" s="11"/>
    </row>
    <row r="47" spans="1:13" ht="15.75" customHeight="1">
      <c r="B47" s="11"/>
      <c r="C47" s="11"/>
      <c r="D47" s="11"/>
      <c r="E47" s="11"/>
      <c r="F47" s="11"/>
      <c r="G47" s="11"/>
      <c r="H47" s="11"/>
      <c r="I47" s="11"/>
      <c r="J47" s="11"/>
      <c r="K47" s="11"/>
      <c r="L47" s="11"/>
    </row>
    <row r="48" spans="1:13" ht="15.75" customHeight="1">
      <c r="B48" s="11"/>
      <c r="C48" s="11"/>
      <c r="D48" s="11"/>
      <c r="E48" s="11"/>
      <c r="F48" s="11"/>
      <c r="G48" s="11"/>
      <c r="H48" s="11"/>
      <c r="I48" s="11"/>
      <c r="J48" s="11"/>
      <c r="K48" s="11"/>
      <c r="L48" s="11"/>
    </row>
    <row r="49" spans="2:12" ht="15.75" customHeight="1">
      <c r="B49" s="11"/>
      <c r="C49" s="11"/>
      <c r="D49" s="11"/>
      <c r="E49" s="11"/>
      <c r="F49" s="11"/>
      <c r="G49" s="11"/>
      <c r="H49" s="11"/>
      <c r="I49" s="11"/>
      <c r="J49" s="11"/>
      <c r="K49" s="11"/>
      <c r="L49" s="11"/>
    </row>
    <row r="50" spans="2:12" ht="15.75" customHeight="1">
      <c r="B50" s="11"/>
      <c r="C50" s="11"/>
      <c r="D50" s="11"/>
      <c r="E50" s="11"/>
      <c r="F50" s="11"/>
      <c r="G50" s="11"/>
      <c r="H50" s="11"/>
      <c r="I50" s="11"/>
      <c r="J50" s="11"/>
      <c r="K50" s="11"/>
      <c r="L50" s="11"/>
    </row>
    <row r="51" spans="2:12" ht="15.75" customHeight="1">
      <c r="B51" s="11"/>
      <c r="C51" s="11"/>
      <c r="D51" s="11"/>
      <c r="E51" s="11"/>
      <c r="F51" s="11"/>
      <c r="G51" s="11"/>
      <c r="H51" s="11"/>
      <c r="I51" s="11"/>
      <c r="J51" s="11"/>
      <c r="K51" s="11"/>
      <c r="L51" s="11"/>
    </row>
    <row r="52" spans="2:12" ht="15.75" customHeight="1">
      <c r="B52" s="11"/>
      <c r="C52" s="11"/>
      <c r="D52" s="11"/>
      <c r="E52" s="11"/>
      <c r="F52" s="11"/>
      <c r="G52" s="11"/>
      <c r="H52" s="11"/>
      <c r="I52" s="11"/>
      <c r="J52" s="11"/>
      <c r="K52" s="11"/>
      <c r="L52" s="11"/>
    </row>
    <row r="53" spans="2:12" ht="15.75" customHeight="1">
      <c r="B53" s="11"/>
      <c r="C53" s="11"/>
      <c r="D53" s="11"/>
      <c r="E53" s="11"/>
      <c r="F53" s="11"/>
      <c r="G53" s="11"/>
      <c r="H53" s="11"/>
      <c r="I53" s="11"/>
      <c r="J53" s="11"/>
      <c r="K53" s="11"/>
      <c r="L53" s="11"/>
    </row>
    <row r="54" spans="2:12" ht="15.75" customHeight="1">
      <c r="B54" s="11"/>
      <c r="C54" s="11"/>
      <c r="D54" s="11"/>
      <c r="E54" s="11"/>
      <c r="F54" s="11"/>
      <c r="G54" s="11"/>
      <c r="H54" s="11"/>
      <c r="I54" s="11"/>
      <c r="J54" s="11"/>
      <c r="K54" s="11"/>
      <c r="L54" s="11"/>
    </row>
    <row r="55" spans="2:12" ht="15.75" customHeight="1">
      <c r="B55" s="11"/>
      <c r="C55" s="11"/>
      <c r="D55" s="11"/>
      <c r="E55" s="11"/>
      <c r="F55" s="11"/>
      <c r="G55" s="11"/>
      <c r="H55" s="11"/>
      <c r="I55" s="11"/>
      <c r="J55" s="11"/>
      <c r="K55" s="11"/>
      <c r="L55" s="11"/>
    </row>
    <row r="56" spans="2:12" ht="15.75" customHeight="1">
      <c r="B56" s="11"/>
      <c r="C56" s="11"/>
      <c r="D56" s="11"/>
      <c r="E56" s="11"/>
      <c r="F56" s="11"/>
      <c r="G56" s="11"/>
      <c r="H56" s="11"/>
      <c r="I56" s="11"/>
      <c r="J56" s="11"/>
      <c r="K56" s="11"/>
      <c r="L56" s="11"/>
    </row>
    <row r="57" spans="2:12" ht="15.75" customHeight="1">
      <c r="B57" s="11"/>
      <c r="C57" s="11"/>
      <c r="D57" s="11"/>
      <c r="E57" s="11"/>
      <c r="F57" s="11"/>
      <c r="G57" s="11"/>
      <c r="H57" s="11"/>
      <c r="I57" s="11"/>
      <c r="J57" s="11"/>
      <c r="K57" s="11"/>
      <c r="L57" s="11"/>
    </row>
    <row r="58" spans="2:12" ht="15.75" customHeight="1">
      <c r="B58" s="11"/>
      <c r="C58" s="11"/>
      <c r="D58" s="11"/>
      <c r="E58" s="11"/>
      <c r="F58" s="11"/>
      <c r="G58" s="11"/>
      <c r="H58" s="11"/>
      <c r="I58" s="11"/>
      <c r="J58" s="11"/>
      <c r="K58" s="11"/>
      <c r="L58" s="11"/>
    </row>
    <row r="59" spans="2:12" ht="15.75" customHeight="1">
      <c r="B59" s="11"/>
      <c r="C59" s="11"/>
      <c r="D59" s="11"/>
      <c r="E59" s="11"/>
      <c r="F59" s="11"/>
      <c r="G59" s="11"/>
      <c r="H59" s="11"/>
      <c r="I59" s="11"/>
      <c r="J59" s="11"/>
      <c r="K59" s="11"/>
      <c r="L59" s="11"/>
    </row>
    <row r="60" spans="2:12" ht="15.75" customHeight="1">
      <c r="B60" s="11"/>
      <c r="C60" s="11"/>
      <c r="D60" s="11"/>
      <c r="E60" s="11"/>
      <c r="F60" s="11"/>
      <c r="G60" s="11"/>
      <c r="H60" s="11"/>
      <c r="I60" s="11"/>
      <c r="J60" s="11"/>
      <c r="K60" s="11"/>
      <c r="L60" s="11"/>
    </row>
    <row r="61" spans="2:12" ht="15.75" customHeight="1">
      <c r="B61" s="11"/>
      <c r="C61" s="11"/>
      <c r="D61" s="11"/>
      <c r="E61" s="11"/>
      <c r="F61" s="11"/>
      <c r="G61" s="11"/>
      <c r="H61" s="11"/>
      <c r="I61" s="11"/>
      <c r="J61" s="11"/>
      <c r="K61" s="11"/>
      <c r="L61" s="11"/>
    </row>
    <row r="62" spans="2:12" ht="15.75" customHeight="1">
      <c r="B62" s="11"/>
      <c r="C62" s="11"/>
      <c r="D62" s="11"/>
      <c r="E62" s="11"/>
      <c r="F62" s="11"/>
      <c r="G62" s="11"/>
      <c r="H62" s="11"/>
      <c r="I62" s="11"/>
      <c r="J62" s="11"/>
      <c r="K62" s="11"/>
      <c r="L62" s="11"/>
    </row>
    <row r="63" spans="2:12" ht="15.75" customHeight="1">
      <c r="B63" s="11"/>
      <c r="C63" s="11"/>
      <c r="D63" s="11"/>
      <c r="E63" s="11"/>
      <c r="F63" s="11"/>
      <c r="G63" s="11"/>
      <c r="H63" s="11"/>
      <c r="I63" s="11"/>
      <c r="J63" s="11"/>
      <c r="K63" s="11"/>
      <c r="L63" s="11"/>
    </row>
    <row r="64" spans="2:12" ht="15.75" customHeight="1">
      <c r="B64" s="11"/>
      <c r="C64" s="11"/>
      <c r="D64" s="11"/>
      <c r="E64" s="11"/>
      <c r="F64" s="11"/>
      <c r="G64" s="11"/>
      <c r="H64" s="11"/>
      <c r="I64" s="11"/>
      <c r="J64" s="11"/>
      <c r="K64" s="11"/>
      <c r="L64" s="11"/>
    </row>
    <row r="65" spans="2:12" ht="15.75" customHeight="1">
      <c r="B65" s="11"/>
      <c r="C65" s="11"/>
      <c r="D65" s="11"/>
      <c r="E65" s="11"/>
      <c r="F65" s="11"/>
      <c r="G65" s="11"/>
      <c r="H65" s="11"/>
      <c r="I65" s="11"/>
      <c r="J65" s="11"/>
      <c r="K65" s="11"/>
      <c r="L65" s="11"/>
    </row>
    <row r="66" spans="2:12" ht="15.75" customHeight="1">
      <c r="B66" s="11"/>
      <c r="C66" s="11"/>
      <c r="D66" s="11"/>
      <c r="E66" s="11"/>
      <c r="F66" s="11"/>
      <c r="G66" s="11"/>
      <c r="H66" s="11"/>
      <c r="I66" s="11"/>
      <c r="J66" s="11"/>
      <c r="K66" s="11"/>
      <c r="L66" s="11"/>
    </row>
    <row r="67" spans="2:12" ht="15.75" customHeight="1">
      <c r="B67" s="11"/>
      <c r="C67" s="11"/>
      <c r="D67" s="11"/>
      <c r="E67" s="11"/>
      <c r="F67" s="11"/>
      <c r="G67" s="11"/>
      <c r="H67" s="11"/>
      <c r="I67" s="11"/>
      <c r="J67" s="11"/>
      <c r="K67" s="11"/>
      <c r="L67" s="11"/>
    </row>
    <row r="68" spans="2:12" ht="15.75" customHeight="1">
      <c r="B68" s="11"/>
      <c r="C68" s="11"/>
      <c r="D68" s="11"/>
      <c r="E68" s="11"/>
      <c r="F68" s="11"/>
      <c r="G68" s="11"/>
      <c r="H68" s="11"/>
      <c r="I68" s="11"/>
      <c r="J68" s="11"/>
      <c r="K68" s="11"/>
      <c r="L68" s="11"/>
    </row>
    <row r="69" spans="2:12" ht="15.75" customHeight="1">
      <c r="B69" s="11"/>
      <c r="C69" s="11"/>
      <c r="D69" s="11"/>
      <c r="E69" s="11"/>
      <c r="F69" s="11"/>
      <c r="G69" s="11"/>
      <c r="H69" s="11"/>
      <c r="I69" s="11"/>
      <c r="J69" s="11"/>
      <c r="K69" s="11"/>
      <c r="L69" s="11"/>
    </row>
    <row r="70" spans="2:12" ht="15.75" customHeight="1">
      <c r="B70" s="11"/>
      <c r="C70" s="11"/>
      <c r="D70" s="11"/>
      <c r="E70" s="11"/>
      <c r="F70" s="11"/>
      <c r="G70" s="11"/>
      <c r="H70" s="11"/>
      <c r="I70" s="11"/>
      <c r="J70" s="11"/>
      <c r="K70" s="11"/>
      <c r="L70" s="11"/>
    </row>
    <row r="71" spans="2:12" ht="15.75" customHeight="1">
      <c r="B71" s="11"/>
      <c r="C71" s="11"/>
      <c r="D71" s="11"/>
      <c r="E71" s="11"/>
      <c r="F71" s="11"/>
      <c r="G71" s="11"/>
      <c r="H71" s="11"/>
      <c r="I71" s="11"/>
      <c r="J71" s="11"/>
      <c r="K71" s="11"/>
      <c r="L71" s="11"/>
    </row>
    <row r="72" spans="2:12" ht="15.75" customHeight="1">
      <c r="B72" s="11"/>
      <c r="C72" s="11"/>
      <c r="D72" s="11"/>
      <c r="E72" s="11"/>
      <c r="F72" s="11"/>
      <c r="G72" s="11"/>
      <c r="H72" s="11"/>
      <c r="I72" s="11"/>
      <c r="J72" s="11"/>
      <c r="K72" s="11"/>
      <c r="L72" s="11"/>
    </row>
    <row r="73" spans="2:12" ht="15.75" customHeight="1">
      <c r="B73" s="11"/>
      <c r="C73" s="11"/>
      <c r="D73" s="11"/>
      <c r="E73" s="11"/>
      <c r="F73" s="11"/>
      <c r="G73" s="11"/>
      <c r="H73" s="11"/>
      <c r="I73" s="11"/>
      <c r="J73" s="11"/>
      <c r="K73" s="11"/>
      <c r="L73" s="11"/>
    </row>
    <row r="74" spans="2:12" ht="15.75" customHeight="1">
      <c r="B74" s="11"/>
      <c r="C74" s="11"/>
      <c r="D74" s="11"/>
      <c r="E74" s="11"/>
      <c r="F74" s="11"/>
      <c r="G74" s="11"/>
      <c r="H74" s="11"/>
      <c r="I74" s="11"/>
      <c r="J74" s="11"/>
      <c r="K74" s="11"/>
      <c r="L74" s="11"/>
    </row>
    <row r="75" spans="2:12" ht="15.75" customHeight="1">
      <c r="B75" s="11"/>
      <c r="C75" s="11"/>
      <c r="D75" s="11"/>
      <c r="E75" s="11"/>
      <c r="F75" s="11"/>
      <c r="G75" s="11"/>
      <c r="H75" s="11"/>
      <c r="I75" s="11"/>
      <c r="J75" s="11"/>
      <c r="K75" s="11"/>
      <c r="L75" s="11"/>
    </row>
    <row r="76" spans="2:12" ht="15.75" customHeight="1">
      <c r="B76" s="11"/>
      <c r="C76" s="11"/>
      <c r="D76" s="11"/>
      <c r="E76" s="11"/>
      <c r="F76" s="11"/>
      <c r="G76" s="11"/>
      <c r="H76" s="11"/>
      <c r="I76" s="11"/>
      <c r="J76" s="11"/>
      <c r="K76" s="11"/>
      <c r="L76" s="11"/>
    </row>
    <row r="77" spans="2:12" ht="15.75" customHeight="1">
      <c r="B77" s="11"/>
      <c r="C77" s="11"/>
      <c r="D77" s="11"/>
      <c r="E77" s="11"/>
      <c r="F77" s="11"/>
      <c r="G77" s="11"/>
      <c r="H77" s="11"/>
      <c r="I77" s="11"/>
      <c r="J77" s="11"/>
      <c r="K77" s="11"/>
      <c r="L77" s="11"/>
    </row>
    <row r="78" spans="2:12" ht="15.75" customHeight="1">
      <c r="B78" s="11"/>
      <c r="C78" s="11"/>
      <c r="D78" s="11"/>
      <c r="E78" s="11"/>
      <c r="F78" s="11"/>
      <c r="G78" s="11"/>
      <c r="H78" s="11"/>
      <c r="I78" s="11"/>
      <c r="J78" s="11"/>
      <c r="K78" s="11"/>
      <c r="L78" s="11"/>
    </row>
    <row r="79" spans="2:12" ht="15.75" customHeight="1">
      <c r="B79" s="11"/>
      <c r="C79" s="11"/>
      <c r="D79" s="11"/>
      <c r="E79" s="11"/>
      <c r="F79" s="11"/>
      <c r="G79" s="11"/>
      <c r="H79" s="11"/>
      <c r="I79" s="11"/>
      <c r="J79" s="11"/>
      <c r="K79" s="11"/>
      <c r="L79" s="11"/>
    </row>
    <row r="80" spans="2:12" ht="15.75" customHeight="1">
      <c r="B80" s="11"/>
      <c r="C80" s="11"/>
      <c r="D80" s="11"/>
      <c r="E80" s="11"/>
      <c r="F80" s="11"/>
      <c r="G80" s="11"/>
      <c r="H80" s="11"/>
      <c r="I80" s="11"/>
      <c r="J80" s="11"/>
      <c r="K80" s="11"/>
      <c r="L80" s="11"/>
    </row>
    <row r="81" spans="2:12" ht="15.75" customHeight="1">
      <c r="B81" s="11"/>
      <c r="C81" s="11"/>
      <c r="D81" s="11"/>
      <c r="E81" s="11"/>
      <c r="F81" s="11"/>
      <c r="G81" s="11"/>
      <c r="H81" s="11"/>
      <c r="I81" s="11"/>
      <c r="J81" s="11"/>
      <c r="K81" s="11"/>
      <c r="L81" s="11"/>
    </row>
    <row r="82" spans="2:12" ht="15.75" customHeight="1">
      <c r="B82" s="11"/>
      <c r="C82" s="11"/>
      <c r="D82" s="11"/>
      <c r="E82" s="11"/>
      <c r="F82" s="11"/>
      <c r="G82" s="11"/>
      <c r="H82" s="11"/>
      <c r="I82" s="11"/>
      <c r="J82" s="11"/>
      <c r="K82" s="11"/>
      <c r="L82" s="11"/>
    </row>
    <row r="83" spans="2:12" ht="15.75" customHeight="1">
      <c r="B83" s="11"/>
      <c r="C83" s="11"/>
      <c r="D83" s="11"/>
      <c r="E83" s="11"/>
      <c r="F83" s="11"/>
      <c r="G83" s="11"/>
      <c r="H83" s="11"/>
      <c r="I83" s="11"/>
      <c r="J83" s="11"/>
      <c r="K83" s="11"/>
      <c r="L83" s="11"/>
    </row>
    <row r="84" spans="2:12" ht="15.75" customHeight="1">
      <c r="B84" s="11"/>
      <c r="C84" s="11"/>
      <c r="D84" s="11"/>
      <c r="E84" s="11"/>
      <c r="F84" s="11"/>
      <c r="G84" s="11"/>
      <c r="H84" s="11"/>
      <c r="I84" s="11"/>
      <c r="J84" s="11"/>
      <c r="K84" s="11"/>
      <c r="L84" s="11"/>
    </row>
    <row r="85" spans="2:12" ht="15.75" customHeight="1">
      <c r="B85" s="11"/>
      <c r="C85" s="11"/>
      <c r="D85" s="11"/>
      <c r="E85" s="11"/>
      <c r="F85" s="11"/>
      <c r="G85" s="11"/>
      <c r="H85" s="11"/>
      <c r="I85" s="11"/>
      <c r="J85" s="11"/>
      <c r="K85" s="11"/>
      <c r="L85" s="11"/>
    </row>
    <row r="86" spans="2:12" ht="15.75" customHeight="1">
      <c r="B86" s="11"/>
      <c r="C86" s="11"/>
      <c r="D86" s="11"/>
      <c r="E86" s="11"/>
      <c r="F86" s="11"/>
      <c r="G86" s="11"/>
      <c r="H86" s="11"/>
      <c r="I86" s="11"/>
      <c r="J86" s="11"/>
      <c r="K86" s="11"/>
      <c r="L86" s="11"/>
    </row>
    <row r="87" spans="2:12" ht="15.75" customHeight="1">
      <c r="B87" s="11"/>
      <c r="C87" s="11"/>
      <c r="D87" s="11"/>
      <c r="E87" s="11"/>
      <c r="F87" s="11"/>
      <c r="G87" s="11"/>
      <c r="H87" s="11"/>
      <c r="I87" s="11"/>
      <c r="J87" s="11"/>
      <c r="K87" s="11"/>
      <c r="L87" s="11"/>
    </row>
    <row r="88" spans="2:12" ht="15.75" customHeight="1">
      <c r="B88" s="11"/>
      <c r="C88" s="11"/>
      <c r="D88" s="11"/>
      <c r="E88" s="11"/>
      <c r="F88" s="11"/>
      <c r="G88" s="11"/>
      <c r="H88" s="11"/>
      <c r="I88" s="11"/>
      <c r="J88" s="11"/>
      <c r="K88" s="11"/>
      <c r="L88" s="11"/>
    </row>
    <row r="89" spans="2:12" ht="15.75" customHeight="1">
      <c r="B89" s="11"/>
      <c r="C89" s="11"/>
      <c r="D89" s="11"/>
      <c r="E89" s="11"/>
      <c r="F89" s="11"/>
      <c r="G89" s="11"/>
      <c r="H89" s="11"/>
      <c r="I89" s="11"/>
      <c r="J89" s="11"/>
      <c r="K89" s="11"/>
      <c r="L89" s="11"/>
    </row>
    <row r="90" spans="2:12" ht="15.75" customHeight="1">
      <c r="B90" s="11"/>
      <c r="C90" s="11"/>
      <c r="D90" s="11"/>
      <c r="E90" s="11"/>
      <c r="F90" s="11"/>
      <c r="G90" s="11"/>
      <c r="H90" s="11"/>
      <c r="I90" s="11"/>
      <c r="J90" s="11"/>
      <c r="K90" s="11"/>
      <c r="L90" s="11"/>
    </row>
    <row r="91" spans="2:12" ht="15.75" customHeight="1">
      <c r="B91" s="11"/>
      <c r="C91" s="11"/>
      <c r="D91" s="11"/>
      <c r="E91" s="11"/>
      <c r="F91" s="11"/>
      <c r="G91" s="11"/>
      <c r="H91" s="11"/>
      <c r="I91" s="11"/>
      <c r="J91" s="11"/>
      <c r="K91" s="11"/>
      <c r="L91" s="11"/>
    </row>
    <row r="92" spans="2:12" ht="15.75" customHeight="1">
      <c r="B92" s="11"/>
      <c r="C92" s="11"/>
      <c r="D92" s="11"/>
      <c r="E92" s="11"/>
      <c r="F92" s="11"/>
      <c r="G92" s="11"/>
      <c r="H92" s="11"/>
      <c r="I92" s="11"/>
      <c r="J92" s="11"/>
      <c r="K92" s="11"/>
      <c r="L92" s="11"/>
    </row>
    <row r="93" spans="2:12" ht="15.75" customHeight="1">
      <c r="B93" s="11"/>
      <c r="C93" s="11"/>
      <c r="D93" s="11"/>
      <c r="E93" s="11"/>
      <c r="F93" s="11"/>
      <c r="G93" s="11"/>
      <c r="H93" s="11"/>
      <c r="I93" s="11"/>
      <c r="J93" s="11"/>
      <c r="K93" s="11"/>
      <c r="L93" s="11"/>
    </row>
    <row r="94" spans="2:12" ht="15.75" customHeight="1">
      <c r="B94" s="11"/>
      <c r="C94" s="11"/>
      <c r="D94" s="11"/>
      <c r="E94" s="11"/>
      <c r="F94" s="11"/>
      <c r="G94" s="11"/>
      <c r="H94" s="11"/>
      <c r="I94" s="11"/>
      <c r="J94" s="11"/>
      <c r="K94" s="11"/>
      <c r="L94" s="11"/>
    </row>
    <row r="95" spans="2:12" ht="15.75" customHeight="1">
      <c r="B95" s="11"/>
      <c r="C95" s="11"/>
      <c r="D95" s="11"/>
      <c r="E95" s="11"/>
      <c r="F95" s="11"/>
      <c r="G95" s="11"/>
      <c r="H95" s="11"/>
      <c r="I95" s="11"/>
      <c r="J95" s="11"/>
      <c r="K95" s="11"/>
      <c r="L95" s="11"/>
    </row>
    <row r="96" spans="2:12" ht="15.75" customHeight="1">
      <c r="B96" s="11"/>
      <c r="C96" s="11"/>
      <c r="D96" s="11"/>
      <c r="E96" s="11"/>
      <c r="F96" s="11"/>
      <c r="G96" s="11"/>
      <c r="H96" s="11"/>
      <c r="I96" s="11"/>
      <c r="J96" s="11"/>
      <c r="K96" s="11"/>
      <c r="L96" s="11"/>
    </row>
    <row r="97" spans="2:12" ht="15.75" customHeight="1">
      <c r="B97" s="11"/>
      <c r="C97" s="11"/>
      <c r="D97" s="11"/>
      <c r="E97" s="11"/>
      <c r="F97" s="11"/>
      <c r="G97" s="11"/>
      <c r="H97" s="11"/>
      <c r="I97" s="11"/>
      <c r="J97" s="11"/>
      <c r="K97" s="11"/>
      <c r="L97" s="11"/>
    </row>
    <row r="98" spans="2:12" ht="15.75" customHeight="1">
      <c r="B98" s="11"/>
      <c r="C98" s="11"/>
      <c r="D98" s="11"/>
      <c r="E98" s="11"/>
      <c r="F98" s="11"/>
      <c r="G98" s="11"/>
      <c r="H98" s="11"/>
      <c r="I98" s="11"/>
      <c r="J98" s="11"/>
      <c r="K98" s="11"/>
      <c r="L98" s="11"/>
    </row>
    <row r="99" spans="2:12" ht="15.75" customHeight="1">
      <c r="B99" s="11"/>
      <c r="C99" s="11"/>
      <c r="D99" s="11"/>
      <c r="E99" s="11"/>
      <c r="F99" s="11"/>
      <c r="G99" s="11"/>
      <c r="H99" s="11"/>
      <c r="I99" s="11"/>
      <c r="J99" s="11"/>
      <c r="K99" s="11"/>
      <c r="L99" s="11"/>
    </row>
    <row r="100" spans="2:12" ht="15.75" customHeight="1">
      <c r="B100" s="11"/>
      <c r="C100" s="11"/>
      <c r="D100" s="11"/>
      <c r="E100" s="11"/>
      <c r="F100" s="11"/>
      <c r="G100" s="11"/>
      <c r="H100" s="11"/>
      <c r="I100" s="11"/>
      <c r="J100" s="11"/>
      <c r="K100" s="11"/>
      <c r="L100" s="11"/>
    </row>
    <row r="101" spans="2:12" ht="15.75" customHeight="1">
      <c r="B101" s="11"/>
      <c r="C101" s="11"/>
      <c r="D101" s="11"/>
      <c r="E101" s="11"/>
      <c r="F101" s="11"/>
      <c r="G101" s="11"/>
      <c r="H101" s="11"/>
      <c r="I101" s="11"/>
      <c r="J101" s="11"/>
      <c r="K101" s="11"/>
      <c r="L101" s="11"/>
    </row>
    <row r="102" spans="2:12" ht="15.75" customHeight="1">
      <c r="B102" s="11"/>
      <c r="C102" s="11"/>
      <c r="D102" s="11"/>
      <c r="E102" s="11"/>
      <c r="F102" s="11"/>
      <c r="G102" s="11"/>
      <c r="H102" s="11"/>
      <c r="I102" s="11"/>
      <c r="J102" s="11"/>
      <c r="K102" s="11"/>
      <c r="L102" s="11"/>
    </row>
    <row r="103" spans="2:12" ht="15.75" customHeight="1">
      <c r="B103" s="11"/>
      <c r="C103" s="11"/>
      <c r="D103" s="11"/>
      <c r="E103" s="11"/>
      <c r="F103" s="11"/>
      <c r="G103" s="11"/>
      <c r="H103" s="11"/>
      <c r="I103" s="11"/>
      <c r="J103" s="11"/>
      <c r="K103" s="11"/>
      <c r="L103" s="11"/>
    </row>
    <row r="104" spans="2:12" ht="15.75" customHeight="1">
      <c r="B104" s="11"/>
      <c r="C104" s="11"/>
      <c r="D104" s="11"/>
      <c r="E104" s="11"/>
      <c r="F104" s="11"/>
      <c r="G104" s="11"/>
      <c r="H104" s="11"/>
      <c r="I104" s="11"/>
      <c r="J104" s="11"/>
      <c r="K104" s="11"/>
      <c r="L104" s="11"/>
    </row>
    <row r="105" spans="2:12" ht="15.75" customHeight="1">
      <c r="B105" s="11"/>
      <c r="C105" s="11"/>
      <c r="D105" s="11"/>
      <c r="E105" s="11"/>
      <c r="F105" s="11"/>
      <c r="G105" s="11"/>
      <c r="H105" s="11"/>
      <c r="I105" s="11"/>
      <c r="J105" s="11"/>
      <c r="K105" s="11"/>
      <c r="L105" s="11"/>
    </row>
    <row r="106" spans="2:12" ht="15.75" customHeight="1">
      <c r="B106" s="11"/>
      <c r="C106" s="11"/>
      <c r="D106" s="11"/>
      <c r="E106" s="11"/>
      <c r="F106" s="11"/>
      <c r="G106" s="11"/>
      <c r="H106" s="11"/>
      <c r="I106" s="11"/>
      <c r="J106" s="11"/>
      <c r="K106" s="11"/>
      <c r="L106" s="11"/>
    </row>
    <row r="107" spans="2:12" ht="15.75" customHeight="1">
      <c r="B107" s="11"/>
      <c r="C107" s="11"/>
      <c r="D107" s="11"/>
      <c r="E107" s="11"/>
      <c r="F107" s="11"/>
      <c r="G107" s="11"/>
      <c r="H107" s="11"/>
      <c r="I107" s="11"/>
      <c r="J107" s="11"/>
      <c r="K107" s="11"/>
      <c r="L107" s="11"/>
    </row>
    <row r="108" spans="2:12" ht="15.75" customHeight="1">
      <c r="B108" s="11"/>
      <c r="C108" s="11"/>
      <c r="D108" s="11"/>
      <c r="E108" s="11"/>
      <c r="F108" s="11"/>
      <c r="G108" s="11"/>
      <c r="H108" s="11"/>
      <c r="I108" s="11"/>
      <c r="J108" s="11"/>
      <c r="K108" s="11"/>
      <c r="L108" s="11"/>
    </row>
    <row r="109" spans="2:12" ht="15.75" customHeight="1">
      <c r="B109" s="11"/>
      <c r="C109" s="11"/>
      <c r="D109" s="11"/>
      <c r="E109" s="11"/>
      <c r="F109" s="11"/>
      <c r="G109" s="11"/>
      <c r="H109" s="11"/>
      <c r="I109" s="11"/>
      <c r="J109" s="11"/>
      <c r="K109" s="11"/>
      <c r="L109" s="11"/>
    </row>
    <row r="110" spans="2:12" ht="15.75" customHeight="1">
      <c r="B110" s="11"/>
      <c r="C110" s="11"/>
      <c r="D110" s="11"/>
      <c r="E110" s="11"/>
      <c r="F110" s="11"/>
      <c r="G110" s="11"/>
      <c r="H110" s="11"/>
      <c r="I110" s="11"/>
      <c r="J110" s="11"/>
      <c r="K110" s="11"/>
      <c r="L110" s="11"/>
    </row>
    <row r="111" spans="2:12" ht="15.75" customHeight="1">
      <c r="B111" s="11"/>
      <c r="C111" s="11"/>
      <c r="D111" s="11"/>
      <c r="E111" s="11"/>
      <c r="F111" s="11"/>
      <c r="G111" s="11"/>
      <c r="H111" s="11"/>
      <c r="I111" s="11"/>
      <c r="J111" s="11"/>
      <c r="K111" s="11"/>
      <c r="L111" s="11"/>
    </row>
    <row r="112" spans="2:12" ht="15.75" customHeight="1">
      <c r="B112" s="11"/>
      <c r="C112" s="11"/>
      <c r="D112" s="11"/>
      <c r="E112" s="11"/>
      <c r="F112" s="11"/>
      <c r="G112" s="11"/>
      <c r="H112" s="11"/>
      <c r="I112" s="11"/>
      <c r="J112" s="11"/>
      <c r="K112" s="11"/>
      <c r="L112" s="11"/>
    </row>
    <row r="113" spans="2:12" ht="15.75" customHeight="1">
      <c r="B113" s="11"/>
      <c r="C113" s="11"/>
      <c r="D113" s="11"/>
      <c r="E113" s="11"/>
      <c r="F113" s="11"/>
      <c r="G113" s="11"/>
      <c r="H113" s="11"/>
      <c r="I113" s="11"/>
      <c r="J113" s="11"/>
      <c r="K113" s="11"/>
      <c r="L113" s="11"/>
    </row>
    <row r="114" spans="2:12" ht="15.75" customHeight="1">
      <c r="B114" s="11"/>
      <c r="C114" s="11"/>
      <c r="D114" s="11"/>
      <c r="E114" s="11"/>
      <c r="F114" s="11"/>
      <c r="G114" s="11"/>
      <c r="H114" s="11"/>
      <c r="I114" s="11"/>
      <c r="J114" s="11"/>
      <c r="K114" s="11"/>
      <c r="L114" s="11"/>
    </row>
    <row r="115" spans="2:12" ht="15.75" customHeight="1">
      <c r="B115" s="11"/>
      <c r="C115" s="11"/>
      <c r="D115" s="11"/>
      <c r="E115" s="11"/>
      <c r="F115" s="11"/>
      <c r="G115" s="11"/>
      <c r="H115" s="11"/>
      <c r="I115" s="11"/>
      <c r="J115" s="11"/>
      <c r="K115" s="11"/>
      <c r="L115" s="11"/>
    </row>
    <row r="116" spans="2:12" ht="15.75" customHeight="1">
      <c r="B116" s="11"/>
      <c r="C116" s="11"/>
      <c r="D116" s="11"/>
      <c r="E116" s="11"/>
      <c r="F116" s="11"/>
      <c r="G116" s="11"/>
      <c r="H116" s="11"/>
      <c r="I116" s="11"/>
      <c r="J116" s="11"/>
      <c r="K116" s="11"/>
      <c r="L116" s="11"/>
    </row>
    <row r="117" spans="2:12" ht="15.75" customHeight="1">
      <c r="B117" s="11"/>
      <c r="C117" s="11"/>
      <c r="D117" s="11"/>
      <c r="E117" s="11"/>
      <c r="F117" s="11"/>
      <c r="G117" s="11"/>
      <c r="H117" s="11"/>
      <c r="I117" s="11"/>
      <c r="J117" s="11"/>
      <c r="K117" s="11"/>
      <c r="L117" s="11"/>
    </row>
    <row r="118" spans="2:12" ht="15.75" customHeight="1">
      <c r="B118" s="11"/>
      <c r="C118" s="11"/>
      <c r="D118" s="11"/>
      <c r="E118" s="11"/>
      <c r="F118" s="11"/>
      <c r="G118" s="11"/>
      <c r="H118" s="11"/>
      <c r="I118" s="11"/>
      <c r="J118" s="11"/>
      <c r="K118" s="11"/>
      <c r="L118" s="11"/>
    </row>
    <row r="119" spans="2:12" ht="15.75" customHeight="1">
      <c r="B119" s="11"/>
      <c r="C119" s="11"/>
      <c r="D119" s="11"/>
      <c r="E119" s="11"/>
      <c r="F119" s="11"/>
      <c r="G119" s="11"/>
      <c r="H119" s="11"/>
      <c r="I119" s="11"/>
      <c r="J119" s="11"/>
      <c r="K119" s="11"/>
      <c r="L119" s="11"/>
    </row>
    <row r="120" spans="2:12" ht="15.75" customHeight="1">
      <c r="B120" s="11"/>
      <c r="C120" s="11"/>
      <c r="D120" s="11"/>
      <c r="E120" s="11"/>
      <c r="F120" s="11"/>
      <c r="G120" s="11"/>
      <c r="H120" s="11"/>
      <c r="I120" s="11"/>
      <c r="J120" s="11"/>
      <c r="K120" s="11"/>
      <c r="L120" s="11"/>
    </row>
    <row r="121" spans="2:12" ht="15.75" customHeight="1">
      <c r="B121" s="11"/>
      <c r="C121" s="11"/>
      <c r="D121" s="11"/>
      <c r="E121" s="11"/>
      <c r="F121" s="11"/>
      <c r="G121" s="11"/>
      <c r="H121" s="11"/>
      <c r="I121" s="11"/>
      <c r="J121" s="11"/>
      <c r="K121" s="11"/>
      <c r="L121" s="11"/>
    </row>
    <row r="122" spans="2:12" ht="15.75" customHeight="1">
      <c r="B122" s="11"/>
      <c r="C122" s="11"/>
      <c r="D122" s="11"/>
      <c r="E122" s="11"/>
      <c r="F122" s="11"/>
      <c r="G122" s="11"/>
      <c r="H122" s="11"/>
      <c r="I122" s="11"/>
      <c r="J122" s="11"/>
      <c r="K122" s="11"/>
      <c r="L122" s="11"/>
    </row>
    <row r="123" spans="2:12" ht="15.75" customHeight="1">
      <c r="B123" s="11"/>
      <c r="C123" s="11"/>
      <c r="D123" s="11"/>
      <c r="E123" s="11"/>
      <c r="F123" s="11"/>
      <c r="G123" s="11"/>
      <c r="H123" s="11"/>
      <c r="I123" s="11"/>
      <c r="J123" s="11"/>
      <c r="K123" s="11"/>
      <c r="L123" s="11"/>
    </row>
    <row r="124" spans="2:12" ht="15.75" customHeight="1">
      <c r="B124" s="11"/>
      <c r="C124" s="11"/>
      <c r="D124" s="11"/>
      <c r="E124" s="11"/>
      <c r="F124" s="11"/>
      <c r="G124" s="11"/>
      <c r="H124" s="11"/>
      <c r="I124" s="11"/>
      <c r="J124" s="11"/>
      <c r="K124" s="11"/>
      <c r="L124" s="11"/>
    </row>
    <row r="125" spans="2:12" ht="15.75" customHeight="1">
      <c r="B125" s="11"/>
      <c r="C125" s="11"/>
      <c r="D125" s="11"/>
      <c r="E125" s="11"/>
      <c r="F125" s="11"/>
      <c r="G125" s="11"/>
      <c r="H125" s="11"/>
      <c r="I125" s="11"/>
      <c r="J125" s="11"/>
      <c r="K125" s="11"/>
      <c r="L125" s="11"/>
    </row>
    <row r="126" spans="2:12" ht="15.75" customHeight="1">
      <c r="B126" s="11"/>
      <c r="C126" s="11"/>
      <c r="D126" s="11"/>
      <c r="E126" s="11"/>
      <c r="F126" s="11"/>
      <c r="G126" s="11"/>
      <c r="H126" s="11"/>
      <c r="I126" s="11"/>
      <c r="J126" s="11"/>
      <c r="K126" s="11"/>
      <c r="L126" s="11"/>
    </row>
    <row r="127" spans="2:12" ht="15.75" customHeight="1">
      <c r="B127" s="11"/>
      <c r="C127" s="11"/>
      <c r="D127" s="11"/>
      <c r="E127" s="11"/>
      <c r="F127" s="11"/>
      <c r="G127" s="11"/>
      <c r="H127" s="11"/>
      <c r="I127" s="11"/>
      <c r="J127" s="11"/>
      <c r="K127" s="11"/>
      <c r="L127" s="11"/>
    </row>
    <row r="128" spans="2:12" ht="15.75" customHeight="1">
      <c r="B128" s="11"/>
      <c r="C128" s="11"/>
      <c r="D128" s="11"/>
      <c r="E128" s="11"/>
      <c r="F128" s="11"/>
      <c r="G128" s="11"/>
      <c r="H128" s="11"/>
      <c r="I128" s="11"/>
      <c r="J128" s="11"/>
      <c r="K128" s="11"/>
      <c r="L128" s="11"/>
    </row>
    <row r="129" spans="2:12" ht="15.75" customHeight="1">
      <c r="B129" s="11"/>
      <c r="C129" s="11"/>
      <c r="D129" s="11"/>
      <c r="E129" s="11"/>
      <c r="F129" s="11"/>
      <c r="G129" s="11"/>
      <c r="H129" s="11"/>
      <c r="I129" s="11"/>
      <c r="J129" s="11"/>
      <c r="K129" s="11"/>
      <c r="L129" s="11"/>
    </row>
    <row r="130" spans="2:12" ht="15.75" customHeight="1">
      <c r="B130" s="11"/>
      <c r="C130" s="11"/>
      <c r="D130" s="11"/>
      <c r="E130" s="11"/>
      <c r="F130" s="11"/>
      <c r="G130" s="11"/>
      <c r="H130" s="11"/>
      <c r="I130" s="11"/>
      <c r="J130" s="11"/>
      <c r="K130" s="11"/>
      <c r="L130" s="11"/>
    </row>
    <row r="131" spans="2:12" ht="15.75" customHeight="1">
      <c r="B131" s="11"/>
      <c r="C131" s="11"/>
      <c r="D131" s="11"/>
      <c r="E131" s="11"/>
      <c r="F131" s="11"/>
      <c r="G131" s="11"/>
      <c r="H131" s="11"/>
      <c r="I131" s="11"/>
      <c r="J131" s="11"/>
      <c r="K131" s="11"/>
      <c r="L131" s="11"/>
    </row>
    <row r="132" spans="2:12" ht="15.75" customHeight="1">
      <c r="B132" s="11"/>
      <c r="C132" s="11"/>
      <c r="D132" s="11"/>
      <c r="E132" s="11"/>
      <c r="F132" s="11"/>
      <c r="G132" s="11"/>
      <c r="H132" s="11"/>
      <c r="I132" s="11"/>
      <c r="J132" s="11"/>
      <c r="K132" s="11"/>
      <c r="L132" s="11"/>
    </row>
    <row r="133" spans="2:12" ht="15.75" customHeight="1">
      <c r="B133" s="11"/>
      <c r="C133" s="11"/>
      <c r="D133" s="11"/>
      <c r="E133" s="11"/>
      <c r="F133" s="11"/>
      <c r="G133" s="11"/>
      <c r="H133" s="11"/>
      <c r="I133" s="11"/>
      <c r="J133" s="11"/>
      <c r="K133" s="11"/>
      <c r="L133" s="11"/>
    </row>
    <row r="134" spans="2:12" ht="15.75" customHeight="1">
      <c r="B134" s="11"/>
      <c r="C134" s="11"/>
      <c r="D134" s="11"/>
      <c r="E134" s="11"/>
      <c r="F134" s="11"/>
      <c r="G134" s="11"/>
      <c r="H134" s="11"/>
      <c r="I134" s="11"/>
      <c r="J134" s="11"/>
      <c r="K134" s="11"/>
      <c r="L134" s="11"/>
    </row>
    <row r="135" spans="2:12" ht="15.75" customHeight="1">
      <c r="B135" s="11"/>
      <c r="C135" s="11"/>
      <c r="D135" s="11"/>
      <c r="E135" s="11"/>
      <c r="F135" s="11"/>
      <c r="G135" s="11"/>
      <c r="H135" s="11"/>
      <c r="I135" s="11"/>
      <c r="J135" s="11"/>
      <c r="K135" s="11"/>
      <c r="L135" s="11"/>
    </row>
    <row r="136" spans="2:12" ht="15.75" customHeight="1">
      <c r="B136" s="11"/>
      <c r="C136" s="11"/>
      <c r="D136" s="11"/>
      <c r="E136" s="11"/>
      <c r="F136" s="11"/>
      <c r="G136" s="11"/>
      <c r="H136" s="11"/>
      <c r="I136" s="11"/>
      <c r="J136" s="11"/>
      <c r="K136" s="11"/>
      <c r="L136" s="11"/>
    </row>
    <row r="137" spans="2:12" ht="15.75" customHeight="1">
      <c r="B137" s="11"/>
      <c r="C137" s="11"/>
      <c r="D137" s="11"/>
      <c r="E137" s="11"/>
      <c r="F137" s="11"/>
      <c r="G137" s="11"/>
      <c r="H137" s="11"/>
      <c r="I137" s="11"/>
      <c r="J137" s="11"/>
      <c r="K137" s="11"/>
      <c r="L137" s="11"/>
    </row>
    <row r="138" spans="2:12" ht="15.75" customHeight="1">
      <c r="B138" s="11"/>
      <c r="C138" s="11"/>
      <c r="D138" s="11"/>
      <c r="E138" s="11"/>
      <c r="F138" s="11"/>
      <c r="G138" s="11"/>
      <c r="H138" s="11"/>
      <c r="I138" s="11"/>
      <c r="J138" s="11"/>
      <c r="K138" s="11"/>
      <c r="L138" s="11"/>
    </row>
    <row r="139" spans="2:12" ht="15.75" customHeight="1">
      <c r="B139" s="11"/>
      <c r="C139" s="11"/>
      <c r="D139" s="11"/>
      <c r="E139" s="11"/>
      <c r="F139" s="11"/>
      <c r="G139" s="11"/>
      <c r="H139" s="11"/>
      <c r="I139" s="11"/>
      <c r="J139" s="11"/>
      <c r="K139" s="11"/>
      <c r="L139" s="11"/>
    </row>
    <row r="140" spans="2:12" ht="15.75" customHeight="1">
      <c r="B140" s="11"/>
      <c r="C140" s="11"/>
      <c r="D140" s="11"/>
      <c r="E140" s="11"/>
      <c r="F140" s="11"/>
      <c r="G140" s="11"/>
      <c r="H140" s="11"/>
      <c r="I140" s="11"/>
      <c r="J140" s="11"/>
      <c r="K140" s="11"/>
      <c r="L140" s="11"/>
    </row>
    <row r="141" spans="2:12" ht="15.75" customHeight="1">
      <c r="B141" s="11"/>
      <c r="C141" s="11"/>
      <c r="D141" s="11"/>
      <c r="E141" s="11"/>
      <c r="F141" s="11"/>
      <c r="G141" s="11"/>
      <c r="H141" s="11"/>
      <c r="I141" s="11"/>
      <c r="J141" s="11"/>
      <c r="K141" s="11"/>
      <c r="L141" s="11"/>
    </row>
    <row r="142" spans="2:12" ht="15.75" customHeight="1">
      <c r="B142" s="11"/>
      <c r="C142" s="11"/>
      <c r="D142" s="11"/>
      <c r="E142" s="11"/>
      <c r="F142" s="11"/>
      <c r="G142" s="11"/>
      <c r="H142" s="11"/>
      <c r="I142" s="11"/>
      <c r="J142" s="11"/>
      <c r="K142" s="11"/>
      <c r="L142" s="11"/>
    </row>
    <row r="143" spans="2:12" ht="15.75" customHeight="1">
      <c r="B143" s="11"/>
      <c r="C143" s="11"/>
      <c r="D143" s="11"/>
      <c r="E143" s="11"/>
      <c r="F143" s="11"/>
      <c r="G143" s="11"/>
      <c r="H143" s="11"/>
      <c r="I143" s="11"/>
      <c r="J143" s="11"/>
      <c r="K143" s="11"/>
      <c r="L143" s="11"/>
    </row>
    <row r="144" spans="2:12" ht="15.75" customHeight="1">
      <c r="B144" s="11"/>
      <c r="C144" s="11"/>
      <c r="D144" s="11"/>
      <c r="E144" s="11"/>
      <c r="F144" s="11"/>
      <c r="G144" s="11"/>
      <c r="H144" s="11"/>
      <c r="I144" s="11"/>
      <c r="J144" s="11"/>
      <c r="K144" s="11"/>
      <c r="L144" s="11"/>
    </row>
    <row r="145" spans="2:12" ht="15.75" customHeight="1">
      <c r="B145" s="11"/>
      <c r="C145" s="11"/>
      <c r="D145" s="11"/>
      <c r="E145" s="11"/>
      <c r="F145" s="11"/>
      <c r="G145" s="11"/>
      <c r="H145" s="11"/>
      <c r="I145" s="11"/>
      <c r="J145" s="11"/>
      <c r="K145" s="11"/>
      <c r="L145" s="11"/>
    </row>
    <row r="146" spans="2:12" ht="15.75" customHeight="1">
      <c r="B146" s="11"/>
      <c r="C146" s="11"/>
      <c r="D146" s="11"/>
      <c r="E146" s="11"/>
      <c r="F146" s="11"/>
      <c r="G146" s="11"/>
      <c r="H146" s="11"/>
      <c r="I146" s="11"/>
      <c r="J146" s="11"/>
      <c r="K146" s="11"/>
      <c r="L146" s="11"/>
    </row>
    <row r="147" spans="2:12" ht="15.75" customHeight="1">
      <c r="B147" s="11"/>
      <c r="C147" s="11"/>
      <c r="D147" s="11"/>
      <c r="E147" s="11"/>
      <c r="F147" s="11"/>
      <c r="G147" s="11"/>
      <c r="H147" s="11"/>
      <c r="I147" s="11"/>
      <c r="J147" s="11"/>
      <c r="K147" s="11"/>
      <c r="L147" s="11"/>
    </row>
    <row r="148" spans="2:12" ht="15.75" customHeight="1">
      <c r="B148" s="11"/>
      <c r="C148" s="11"/>
      <c r="D148" s="11"/>
      <c r="E148" s="11"/>
      <c r="F148" s="11"/>
      <c r="G148" s="11"/>
      <c r="H148" s="11"/>
      <c r="I148" s="11"/>
      <c r="J148" s="11"/>
      <c r="K148" s="11"/>
      <c r="L148" s="11"/>
    </row>
    <row r="149" spans="2:12" ht="15.75" customHeight="1">
      <c r="B149" s="11"/>
      <c r="C149" s="11"/>
      <c r="D149" s="11"/>
      <c r="E149" s="11"/>
      <c r="F149" s="11"/>
      <c r="G149" s="11"/>
      <c r="H149" s="11"/>
      <c r="I149" s="11"/>
      <c r="J149" s="11"/>
      <c r="K149" s="11"/>
      <c r="L149" s="11"/>
    </row>
    <row r="150" spans="2:12" ht="15.75" customHeight="1">
      <c r="B150" s="11"/>
      <c r="C150" s="11"/>
      <c r="D150" s="11"/>
      <c r="E150" s="11"/>
      <c r="F150" s="11"/>
      <c r="G150" s="11"/>
      <c r="H150" s="11"/>
      <c r="I150" s="11"/>
      <c r="J150" s="11"/>
      <c r="K150" s="11"/>
      <c r="L150" s="11"/>
    </row>
    <row r="151" spans="2:12" ht="15.75" customHeight="1">
      <c r="B151" s="11"/>
      <c r="C151" s="11"/>
      <c r="D151" s="11"/>
      <c r="E151" s="11"/>
      <c r="F151" s="11"/>
      <c r="G151" s="11"/>
      <c r="H151" s="11"/>
      <c r="I151" s="11"/>
      <c r="J151" s="11"/>
      <c r="K151" s="11"/>
      <c r="L151" s="11"/>
    </row>
    <row r="152" spans="2:12" ht="15.75" customHeight="1">
      <c r="B152" s="11"/>
      <c r="C152" s="11"/>
      <c r="D152" s="11"/>
      <c r="E152" s="11"/>
      <c r="F152" s="11"/>
      <c r="G152" s="11"/>
      <c r="H152" s="11"/>
      <c r="I152" s="11"/>
      <c r="J152" s="11"/>
      <c r="K152" s="11"/>
      <c r="L152" s="11"/>
    </row>
    <row r="153" spans="2:12" ht="15.75" customHeight="1">
      <c r="B153" s="11"/>
      <c r="C153" s="11"/>
      <c r="D153" s="11"/>
      <c r="E153" s="11"/>
      <c r="F153" s="11"/>
      <c r="G153" s="11"/>
      <c r="H153" s="11"/>
      <c r="I153" s="11"/>
      <c r="J153" s="11"/>
      <c r="K153" s="11"/>
      <c r="L153" s="11"/>
    </row>
    <row r="154" spans="2:12" ht="15.75" customHeight="1">
      <c r="B154" s="11"/>
      <c r="C154" s="11"/>
      <c r="D154" s="11"/>
      <c r="E154" s="11"/>
      <c r="F154" s="11"/>
      <c r="G154" s="11"/>
      <c r="H154" s="11"/>
      <c r="I154" s="11"/>
      <c r="J154" s="11"/>
      <c r="K154" s="11"/>
      <c r="L154" s="11"/>
    </row>
    <row r="155" spans="2:12" ht="15.75" customHeight="1">
      <c r="B155" s="11"/>
      <c r="C155" s="11"/>
      <c r="D155" s="11"/>
      <c r="E155" s="11"/>
      <c r="F155" s="11"/>
      <c r="G155" s="11"/>
      <c r="H155" s="11"/>
      <c r="I155" s="11"/>
      <c r="J155" s="11"/>
      <c r="K155" s="11"/>
      <c r="L155" s="11"/>
    </row>
    <row r="156" spans="2:12" ht="15.75" customHeight="1">
      <c r="B156" s="11"/>
      <c r="C156" s="11"/>
      <c r="D156" s="11"/>
      <c r="E156" s="11"/>
      <c r="F156" s="11"/>
      <c r="G156" s="11"/>
      <c r="H156" s="11"/>
      <c r="I156" s="11"/>
      <c r="J156" s="11"/>
      <c r="K156" s="11"/>
      <c r="L156" s="11"/>
    </row>
    <row r="157" spans="2:12" ht="15.75" customHeight="1">
      <c r="B157" s="11"/>
      <c r="C157" s="11"/>
      <c r="D157" s="11"/>
      <c r="E157" s="11"/>
      <c r="F157" s="11"/>
      <c r="G157" s="11"/>
      <c r="H157" s="11"/>
      <c r="I157" s="11"/>
      <c r="J157" s="11"/>
      <c r="K157" s="11"/>
      <c r="L157" s="11"/>
    </row>
    <row r="158" spans="2:12" ht="15.75" customHeight="1">
      <c r="B158" s="11"/>
      <c r="C158" s="11"/>
      <c r="D158" s="11"/>
      <c r="E158" s="11"/>
      <c r="F158" s="11"/>
      <c r="G158" s="11"/>
      <c r="H158" s="11"/>
      <c r="I158" s="11"/>
      <c r="J158" s="11"/>
      <c r="K158" s="11"/>
      <c r="L158" s="11"/>
    </row>
    <row r="159" spans="2:12" ht="15.75" customHeight="1">
      <c r="B159" s="11"/>
      <c r="C159" s="11"/>
      <c r="D159" s="11"/>
      <c r="E159" s="11"/>
      <c r="F159" s="11"/>
      <c r="G159" s="11"/>
      <c r="H159" s="11"/>
      <c r="I159" s="11"/>
      <c r="J159" s="11"/>
      <c r="K159" s="11"/>
      <c r="L159" s="11"/>
    </row>
    <row r="160" spans="2:12" ht="15.75" customHeight="1">
      <c r="B160" s="11"/>
      <c r="C160" s="11"/>
      <c r="D160" s="11"/>
      <c r="E160" s="11"/>
      <c r="F160" s="11"/>
      <c r="G160" s="11"/>
      <c r="H160" s="11"/>
      <c r="I160" s="11"/>
      <c r="J160" s="11"/>
      <c r="K160" s="11"/>
      <c r="L160" s="11"/>
    </row>
    <row r="161" spans="2:12" ht="15.75" customHeight="1">
      <c r="B161" s="11"/>
      <c r="C161" s="11"/>
      <c r="D161" s="11"/>
      <c r="E161" s="11"/>
      <c r="F161" s="11"/>
      <c r="G161" s="11"/>
      <c r="H161" s="11"/>
      <c r="I161" s="11"/>
      <c r="J161" s="11"/>
      <c r="K161" s="11"/>
      <c r="L161" s="11"/>
    </row>
    <row r="162" spans="2:12" ht="15.75" customHeight="1">
      <c r="B162" s="11"/>
      <c r="C162" s="11"/>
      <c r="D162" s="11"/>
      <c r="E162" s="11"/>
      <c r="F162" s="11"/>
      <c r="G162" s="11"/>
      <c r="H162" s="11"/>
      <c r="I162" s="11"/>
      <c r="J162" s="11"/>
      <c r="K162" s="11"/>
      <c r="L162" s="11"/>
    </row>
    <row r="163" spans="2:12" ht="15.75" customHeight="1">
      <c r="B163" s="11"/>
      <c r="C163" s="11"/>
      <c r="D163" s="11"/>
      <c r="E163" s="11"/>
      <c r="F163" s="11"/>
      <c r="G163" s="11"/>
      <c r="H163" s="11"/>
      <c r="I163" s="11"/>
      <c r="J163" s="11"/>
      <c r="K163" s="11"/>
      <c r="L163" s="11"/>
    </row>
    <row r="164" spans="2:12" ht="15.75" customHeight="1">
      <c r="B164" s="11"/>
      <c r="C164" s="11"/>
      <c r="D164" s="11"/>
      <c r="E164" s="11"/>
      <c r="F164" s="11"/>
      <c r="G164" s="11"/>
      <c r="H164" s="11"/>
      <c r="I164" s="11"/>
      <c r="J164" s="11"/>
      <c r="K164" s="11"/>
      <c r="L164" s="11"/>
    </row>
    <row r="165" spans="2:12" ht="15.75" customHeight="1">
      <c r="B165" s="11"/>
      <c r="C165" s="11"/>
      <c r="D165" s="11"/>
      <c r="E165" s="11"/>
      <c r="F165" s="11"/>
      <c r="G165" s="11"/>
      <c r="H165" s="11"/>
      <c r="I165" s="11"/>
      <c r="J165" s="11"/>
      <c r="K165" s="11"/>
      <c r="L165" s="11"/>
    </row>
    <row r="166" spans="2:12" ht="15.75" customHeight="1">
      <c r="B166" s="11"/>
      <c r="C166" s="11"/>
      <c r="D166" s="11"/>
      <c r="E166" s="11"/>
      <c r="F166" s="11"/>
      <c r="G166" s="11"/>
      <c r="H166" s="11"/>
      <c r="I166" s="11"/>
      <c r="J166" s="11"/>
      <c r="K166" s="11"/>
      <c r="L166" s="11"/>
    </row>
    <row r="167" spans="2:12" ht="15.75" customHeight="1">
      <c r="B167" s="11"/>
      <c r="C167" s="11"/>
      <c r="D167" s="11"/>
      <c r="E167" s="11"/>
      <c r="F167" s="11"/>
      <c r="G167" s="11"/>
      <c r="H167" s="11"/>
      <c r="I167" s="11"/>
      <c r="J167" s="11"/>
      <c r="K167" s="11"/>
      <c r="L167" s="11"/>
    </row>
    <row r="168" spans="2:12" ht="15.75" customHeight="1">
      <c r="B168" s="11"/>
      <c r="C168" s="11"/>
      <c r="D168" s="11"/>
      <c r="E168" s="11"/>
      <c r="F168" s="11"/>
      <c r="G168" s="11"/>
      <c r="H168" s="11"/>
      <c r="I168" s="11"/>
      <c r="J168" s="11"/>
      <c r="K168" s="11"/>
      <c r="L168" s="11"/>
    </row>
    <row r="169" spans="2:12" ht="15.75" customHeight="1">
      <c r="B169" s="11"/>
      <c r="C169" s="11"/>
      <c r="D169" s="11"/>
      <c r="E169" s="11"/>
      <c r="F169" s="11"/>
      <c r="G169" s="11"/>
      <c r="H169" s="11"/>
      <c r="I169" s="11"/>
      <c r="J169" s="11"/>
      <c r="K169" s="11"/>
      <c r="L169" s="11"/>
    </row>
    <row r="170" spans="2:12" ht="15.75" customHeight="1">
      <c r="B170" s="11"/>
      <c r="C170" s="11"/>
      <c r="D170" s="11"/>
      <c r="E170" s="11"/>
      <c r="F170" s="11"/>
      <c r="G170" s="11"/>
      <c r="H170" s="11"/>
      <c r="I170" s="11"/>
      <c r="J170" s="11"/>
      <c r="K170" s="11"/>
      <c r="L170" s="11"/>
    </row>
    <row r="171" spans="2:12" ht="15.75" customHeight="1">
      <c r="B171" s="11"/>
      <c r="C171" s="11"/>
      <c r="D171" s="11"/>
      <c r="E171" s="11"/>
      <c r="F171" s="11"/>
      <c r="G171" s="11"/>
      <c r="H171" s="11"/>
      <c r="I171" s="11"/>
      <c r="J171" s="11"/>
      <c r="K171" s="11"/>
      <c r="L171" s="11"/>
    </row>
    <row r="172" spans="2:12" ht="15.75" customHeight="1">
      <c r="B172" s="11"/>
      <c r="C172" s="11"/>
      <c r="D172" s="11"/>
      <c r="E172" s="11"/>
      <c r="F172" s="11"/>
      <c r="G172" s="11"/>
      <c r="H172" s="11"/>
      <c r="I172" s="11"/>
      <c r="J172" s="11"/>
      <c r="K172" s="11"/>
      <c r="L172" s="11"/>
    </row>
    <row r="173" spans="2:12" ht="15.75" customHeight="1">
      <c r="B173" s="11"/>
      <c r="C173" s="11"/>
      <c r="D173" s="11"/>
      <c r="E173" s="11"/>
      <c r="F173" s="11"/>
      <c r="G173" s="11"/>
      <c r="H173" s="11"/>
      <c r="I173" s="11"/>
      <c r="J173" s="11"/>
      <c r="K173" s="11"/>
      <c r="L173" s="11"/>
    </row>
    <row r="174" spans="2:12" ht="15.75" customHeight="1">
      <c r="B174" s="11"/>
      <c r="C174" s="11"/>
      <c r="D174" s="11"/>
      <c r="E174" s="11"/>
      <c r="F174" s="11"/>
      <c r="G174" s="11"/>
      <c r="H174" s="11"/>
      <c r="I174" s="11"/>
      <c r="J174" s="11"/>
      <c r="K174" s="11"/>
      <c r="L174" s="11"/>
    </row>
    <row r="175" spans="2:12" ht="15.75" customHeight="1">
      <c r="B175" s="11"/>
      <c r="C175" s="11"/>
      <c r="D175" s="11"/>
      <c r="E175" s="11"/>
      <c r="F175" s="11"/>
      <c r="G175" s="11"/>
      <c r="H175" s="11"/>
      <c r="I175" s="11"/>
      <c r="J175" s="11"/>
      <c r="K175" s="11"/>
      <c r="L175" s="11"/>
    </row>
    <row r="176" spans="2:12" ht="15.75" customHeight="1">
      <c r="B176" s="11"/>
      <c r="C176" s="11"/>
      <c r="D176" s="11"/>
      <c r="E176" s="11"/>
      <c r="F176" s="11"/>
      <c r="G176" s="11"/>
      <c r="H176" s="11"/>
      <c r="I176" s="11"/>
      <c r="J176" s="11"/>
      <c r="K176" s="11"/>
      <c r="L176" s="11"/>
    </row>
    <row r="177" spans="2:12" ht="15.75" customHeight="1">
      <c r="B177" s="11"/>
      <c r="C177" s="11"/>
      <c r="D177" s="11"/>
      <c r="E177" s="11"/>
      <c r="F177" s="11"/>
      <c r="G177" s="11"/>
      <c r="H177" s="11"/>
      <c r="I177" s="11"/>
      <c r="J177" s="11"/>
      <c r="K177" s="11"/>
      <c r="L177" s="11"/>
    </row>
    <row r="178" spans="2:12" ht="15.75" customHeight="1">
      <c r="B178" s="11"/>
      <c r="C178" s="11"/>
      <c r="D178" s="11"/>
      <c r="E178" s="11"/>
      <c r="F178" s="11"/>
      <c r="G178" s="11"/>
      <c r="H178" s="11"/>
      <c r="I178" s="11"/>
      <c r="J178" s="11"/>
      <c r="K178" s="11"/>
      <c r="L178" s="11"/>
    </row>
    <row r="179" spans="2:12" ht="15.75" customHeight="1">
      <c r="B179" s="11"/>
      <c r="C179" s="11"/>
      <c r="D179" s="11"/>
      <c r="E179" s="11"/>
      <c r="F179" s="11"/>
      <c r="G179" s="11"/>
      <c r="H179" s="11"/>
      <c r="I179" s="11"/>
      <c r="J179" s="11"/>
      <c r="K179" s="11"/>
      <c r="L179" s="11"/>
    </row>
    <row r="180" spans="2:12" ht="15.75" customHeight="1">
      <c r="B180" s="11"/>
      <c r="C180" s="11"/>
      <c r="D180" s="11"/>
      <c r="E180" s="11"/>
      <c r="F180" s="11"/>
      <c r="G180" s="11"/>
      <c r="H180" s="11"/>
      <c r="I180" s="11"/>
      <c r="J180" s="11"/>
      <c r="K180" s="11"/>
      <c r="L180" s="11"/>
    </row>
    <row r="181" spans="2:12" ht="15.75" customHeight="1">
      <c r="B181" s="11"/>
      <c r="C181" s="11"/>
      <c r="D181" s="11"/>
      <c r="E181" s="11"/>
      <c r="F181" s="11"/>
      <c r="G181" s="11"/>
      <c r="H181" s="11"/>
      <c r="I181" s="11"/>
      <c r="J181" s="11"/>
      <c r="K181" s="11"/>
      <c r="L181" s="11"/>
    </row>
    <row r="182" spans="2:12" ht="15.75" customHeight="1">
      <c r="B182" s="11"/>
      <c r="C182" s="11"/>
      <c r="D182" s="11"/>
      <c r="E182" s="11"/>
      <c r="F182" s="11"/>
      <c r="G182" s="11"/>
      <c r="H182" s="11"/>
      <c r="I182" s="11"/>
      <c r="J182" s="11"/>
      <c r="K182" s="11"/>
      <c r="L182" s="11"/>
    </row>
    <row r="183" spans="2:12" ht="15.75" customHeight="1">
      <c r="B183" s="11"/>
      <c r="C183" s="11"/>
      <c r="D183" s="11"/>
      <c r="E183" s="11"/>
      <c r="F183" s="11"/>
      <c r="G183" s="11"/>
      <c r="H183" s="11"/>
      <c r="I183" s="11"/>
      <c r="J183" s="11"/>
      <c r="K183" s="11"/>
      <c r="L183" s="11"/>
    </row>
    <row r="184" spans="2:12" ht="15.75" customHeight="1">
      <c r="B184" s="11"/>
      <c r="C184" s="11"/>
      <c r="D184" s="11"/>
      <c r="E184" s="11"/>
      <c r="F184" s="11"/>
      <c r="G184" s="11"/>
      <c r="H184" s="11"/>
      <c r="I184" s="11"/>
      <c r="J184" s="11"/>
      <c r="K184" s="11"/>
      <c r="L184" s="11"/>
    </row>
    <row r="185" spans="2:12" ht="15.75" customHeight="1">
      <c r="B185" s="11"/>
      <c r="C185" s="11"/>
      <c r="D185" s="11"/>
      <c r="E185" s="11"/>
      <c r="F185" s="11"/>
      <c r="G185" s="11"/>
      <c r="H185" s="11"/>
      <c r="I185" s="11"/>
      <c r="J185" s="11"/>
      <c r="K185" s="11"/>
      <c r="L185" s="11"/>
    </row>
    <row r="186" spans="2:12" ht="15.75" customHeight="1">
      <c r="B186" s="11"/>
      <c r="C186" s="11"/>
      <c r="D186" s="11"/>
      <c r="E186" s="11"/>
      <c r="F186" s="11"/>
      <c r="G186" s="11"/>
      <c r="H186" s="11"/>
      <c r="I186" s="11"/>
      <c r="J186" s="11"/>
      <c r="K186" s="11"/>
      <c r="L186" s="11"/>
    </row>
    <row r="187" spans="2:12" ht="15.75" customHeight="1">
      <c r="B187" s="11"/>
      <c r="C187" s="11"/>
      <c r="D187" s="11"/>
      <c r="E187" s="11"/>
      <c r="F187" s="11"/>
      <c r="G187" s="11"/>
      <c r="H187" s="11"/>
      <c r="I187" s="11"/>
      <c r="J187" s="11"/>
      <c r="K187" s="11"/>
      <c r="L187" s="11"/>
    </row>
    <row r="188" spans="2:12" ht="15.75" customHeight="1">
      <c r="B188" s="11"/>
      <c r="C188" s="11"/>
      <c r="D188" s="11"/>
      <c r="E188" s="11"/>
      <c r="F188" s="11"/>
      <c r="G188" s="11"/>
      <c r="H188" s="11"/>
      <c r="I188" s="11"/>
      <c r="J188" s="11"/>
      <c r="K188" s="11"/>
      <c r="L188" s="11"/>
    </row>
    <row r="189" spans="2:12" ht="15.75" customHeight="1">
      <c r="B189" s="11"/>
      <c r="C189" s="11"/>
      <c r="D189" s="11"/>
      <c r="E189" s="11"/>
      <c r="F189" s="11"/>
      <c r="G189" s="11"/>
      <c r="H189" s="11"/>
      <c r="I189" s="11"/>
      <c r="J189" s="11"/>
      <c r="K189" s="11"/>
      <c r="L189" s="11"/>
    </row>
    <row r="190" spans="2:12" ht="15.75" customHeight="1">
      <c r="B190" s="11"/>
      <c r="C190" s="11"/>
      <c r="D190" s="11"/>
      <c r="E190" s="11"/>
      <c r="F190" s="11"/>
      <c r="G190" s="11"/>
      <c r="H190" s="11"/>
      <c r="I190" s="11"/>
      <c r="J190" s="11"/>
      <c r="K190" s="11"/>
      <c r="L190" s="11"/>
    </row>
    <row r="191" spans="2:12" ht="15.75" customHeight="1">
      <c r="B191" s="11"/>
      <c r="C191" s="11"/>
      <c r="D191" s="11"/>
      <c r="E191" s="11"/>
      <c r="F191" s="11"/>
      <c r="G191" s="11"/>
      <c r="H191" s="11"/>
      <c r="I191" s="11"/>
      <c r="J191" s="11"/>
      <c r="K191" s="11"/>
      <c r="L191" s="11"/>
    </row>
    <row r="192" spans="2:12" ht="15.75" customHeight="1">
      <c r="B192" s="11"/>
      <c r="C192" s="11"/>
      <c r="D192" s="11"/>
      <c r="E192" s="11"/>
      <c r="F192" s="11"/>
      <c r="G192" s="11"/>
      <c r="H192" s="11"/>
      <c r="I192" s="11"/>
      <c r="J192" s="11"/>
      <c r="K192" s="11"/>
      <c r="L192" s="11"/>
    </row>
    <row r="193" spans="2:12" ht="15.75" customHeight="1">
      <c r="B193" s="11"/>
      <c r="C193" s="11"/>
      <c r="D193" s="11"/>
      <c r="E193" s="11"/>
      <c r="F193" s="11"/>
      <c r="G193" s="11"/>
      <c r="H193" s="11"/>
      <c r="I193" s="11"/>
      <c r="J193" s="11"/>
      <c r="K193" s="11"/>
      <c r="L193" s="11"/>
    </row>
    <row r="194" spans="2:12" ht="15.75" customHeight="1">
      <c r="B194" s="11"/>
      <c r="C194" s="11"/>
      <c r="D194" s="11"/>
      <c r="E194" s="11"/>
      <c r="F194" s="11"/>
      <c r="G194" s="11"/>
      <c r="H194" s="11"/>
      <c r="I194" s="11"/>
      <c r="J194" s="11"/>
      <c r="K194" s="11"/>
      <c r="L194" s="11"/>
    </row>
    <row r="195" spans="2:12" ht="15.75" customHeight="1">
      <c r="B195" s="11"/>
      <c r="C195" s="11"/>
      <c r="D195" s="11"/>
      <c r="E195" s="11"/>
      <c r="F195" s="11"/>
      <c r="G195" s="11"/>
      <c r="H195" s="11"/>
      <c r="I195" s="11"/>
      <c r="J195" s="11"/>
      <c r="K195" s="11"/>
      <c r="L195" s="11"/>
    </row>
    <row r="196" spans="2:12" ht="15.75" customHeight="1">
      <c r="B196" s="11"/>
      <c r="C196" s="11"/>
      <c r="D196" s="11"/>
      <c r="E196" s="11"/>
      <c r="F196" s="11"/>
      <c r="G196" s="11"/>
      <c r="H196" s="11"/>
      <c r="I196" s="11"/>
      <c r="J196" s="11"/>
      <c r="K196" s="11"/>
      <c r="L196" s="11"/>
    </row>
    <row r="197" spans="2:12" ht="15.75" customHeight="1">
      <c r="B197" s="11"/>
      <c r="C197" s="11"/>
      <c r="D197" s="11"/>
      <c r="E197" s="11"/>
      <c r="F197" s="11"/>
      <c r="G197" s="11"/>
      <c r="H197" s="11"/>
      <c r="I197" s="11"/>
      <c r="J197" s="11"/>
      <c r="K197" s="11"/>
      <c r="L197" s="11"/>
    </row>
    <row r="198" spans="2:12" ht="15.75" customHeight="1">
      <c r="B198" s="11"/>
      <c r="C198" s="11"/>
      <c r="D198" s="11"/>
      <c r="E198" s="11"/>
      <c r="F198" s="11"/>
      <c r="G198" s="11"/>
      <c r="H198" s="11"/>
      <c r="I198" s="11"/>
      <c r="J198" s="11"/>
      <c r="K198" s="11"/>
      <c r="L198" s="11"/>
    </row>
    <row r="199" spans="2:12" ht="15.75" customHeight="1">
      <c r="B199" s="11"/>
      <c r="C199" s="11"/>
      <c r="D199" s="11"/>
      <c r="E199" s="11"/>
      <c r="F199" s="11"/>
      <c r="G199" s="11"/>
      <c r="H199" s="11"/>
      <c r="I199" s="11"/>
      <c r="J199" s="11"/>
      <c r="K199" s="11"/>
      <c r="L199" s="11"/>
    </row>
    <row r="200" spans="2:12" ht="15.75" customHeight="1">
      <c r="B200" s="11"/>
      <c r="C200" s="11"/>
      <c r="D200" s="11"/>
      <c r="E200" s="11"/>
      <c r="F200" s="11"/>
      <c r="G200" s="11"/>
      <c r="H200" s="11"/>
      <c r="I200" s="11"/>
      <c r="J200" s="11"/>
      <c r="K200" s="11"/>
      <c r="L200" s="11"/>
    </row>
    <row r="201" spans="2:12" ht="15.75" customHeight="1">
      <c r="B201" s="11"/>
      <c r="C201" s="11"/>
      <c r="D201" s="11"/>
      <c r="E201" s="11"/>
      <c r="F201" s="11"/>
      <c r="G201" s="11"/>
      <c r="H201" s="11"/>
      <c r="I201" s="11"/>
      <c r="J201" s="11"/>
      <c r="K201" s="11"/>
      <c r="L201" s="11"/>
    </row>
    <row r="202" spans="2:12" ht="15.75" customHeight="1">
      <c r="B202" s="11"/>
      <c r="C202" s="11"/>
      <c r="D202" s="11"/>
      <c r="E202" s="11"/>
      <c r="F202" s="11"/>
      <c r="G202" s="11"/>
      <c r="H202" s="11"/>
      <c r="I202" s="11"/>
      <c r="J202" s="11"/>
      <c r="K202" s="11"/>
      <c r="L202" s="11"/>
    </row>
    <row r="203" spans="2:12" ht="15.75" customHeight="1">
      <c r="B203" s="11"/>
      <c r="C203" s="11"/>
      <c r="D203" s="11"/>
      <c r="E203" s="11"/>
      <c r="F203" s="11"/>
      <c r="G203" s="11"/>
      <c r="H203" s="11"/>
      <c r="I203" s="11"/>
      <c r="J203" s="11"/>
      <c r="K203" s="11"/>
      <c r="L203" s="11"/>
    </row>
    <row r="204" spans="2:12" ht="15.75" customHeight="1">
      <c r="B204" s="11"/>
      <c r="C204" s="11"/>
      <c r="D204" s="11"/>
      <c r="E204" s="11"/>
      <c r="F204" s="11"/>
      <c r="G204" s="11"/>
      <c r="H204" s="11"/>
      <c r="I204" s="11"/>
      <c r="J204" s="11"/>
      <c r="K204" s="11"/>
      <c r="L204" s="11"/>
    </row>
    <row r="205" spans="2:12" ht="15.75" customHeight="1">
      <c r="B205" s="11"/>
      <c r="C205" s="11"/>
      <c r="D205" s="11"/>
      <c r="E205" s="11"/>
      <c r="F205" s="11"/>
      <c r="G205" s="11"/>
      <c r="H205" s="11"/>
      <c r="I205" s="11"/>
      <c r="J205" s="11"/>
      <c r="K205" s="11"/>
      <c r="L205" s="11"/>
    </row>
    <row r="206" spans="2:12" ht="15.75" customHeight="1">
      <c r="B206" s="11"/>
      <c r="C206" s="11"/>
      <c r="D206" s="11"/>
      <c r="E206" s="11"/>
      <c r="F206" s="11"/>
      <c r="G206" s="11"/>
      <c r="H206" s="11"/>
      <c r="I206" s="11"/>
      <c r="J206" s="11"/>
      <c r="K206" s="11"/>
      <c r="L206" s="11"/>
    </row>
    <row r="207" spans="2:12" ht="15.75" customHeight="1">
      <c r="B207" s="11"/>
      <c r="C207" s="11"/>
      <c r="D207" s="11"/>
      <c r="E207" s="11"/>
      <c r="F207" s="11"/>
      <c r="G207" s="11"/>
      <c r="H207" s="11"/>
      <c r="I207" s="11"/>
      <c r="J207" s="11"/>
      <c r="K207" s="11"/>
      <c r="L207" s="11"/>
    </row>
    <row r="208" spans="2:12" ht="15.75" customHeight="1">
      <c r="B208" s="11"/>
      <c r="C208" s="11"/>
      <c r="D208" s="11"/>
      <c r="E208" s="11"/>
      <c r="F208" s="11"/>
      <c r="G208" s="11"/>
      <c r="H208" s="11"/>
      <c r="I208" s="11"/>
      <c r="J208" s="11"/>
      <c r="K208" s="11"/>
      <c r="L208" s="11"/>
    </row>
    <row r="209" spans="2:12" ht="15.75" customHeight="1">
      <c r="B209" s="11"/>
      <c r="C209" s="11"/>
      <c r="D209" s="11"/>
      <c r="E209" s="11"/>
      <c r="F209" s="11"/>
      <c r="G209" s="11"/>
      <c r="H209" s="11"/>
      <c r="I209" s="11"/>
      <c r="J209" s="11"/>
      <c r="K209" s="11"/>
      <c r="L209" s="11"/>
    </row>
    <row r="210" spans="2:12" ht="15.75" customHeight="1">
      <c r="B210" s="11"/>
      <c r="C210" s="11"/>
      <c r="D210" s="11"/>
      <c r="E210" s="11"/>
      <c r="F210" s="11"/>
      <c r="G210" s="11"/>
      <c r="H210" s="11"/>
      <c r="I210" s="11"/>
      <c r="J210" s="11"/>
      <c r="K210" s="11"/>
      <c r="L210" s="11"/>
    </row>
    <row r="211" spans="2:12" ht="15.75" customHeight="1">
      <c r="B211" s="11"/>
      <c r="C211" s="11"/>
      <c r="D211" s="11"/>
      <c r="E211" s="11"/>
      <c r="F211" s="11"/>
      <c r="G211" s="11"/>
      <c r="H211" s="11"/>
      <c r="I211" s="11"/>
      <c r="J211" s="11"/>
      <c r="K211" s="11"/>
      <c r="L211" s="11"/>
    </row>
    <row r="212" spans="2:12" ht="15.75" customHeight="1">
      <c r="B212" s="11"/>
      <c r="C212" s="11"/>
      <c r="D212" s="11"/>
      <c r="E212" s="11"/>
      <c r="F212" s="11"/>
      <c r="G212" s="11"/>
      <c r="H212" s="11"/>
      <c r="I212" s="11"/>
      <c r="J212" s="11"/>
      <c r="K212" s="11"/>
      <c r="L212" s="11"/>
    </row>
    <row r="213" spans="2:12" ht="15.75" customHeight="1">
      <c r="B213" s="11"/>
      <c r="C213" s="11"/>
      <c r="D213" s="11"/>
      <c r="E213" s="11"/>
      <c r="F213" s="11"/>
      <c r="G213" s="11"/>
      <c r="H213" s="11"/>
      <c r="I213" s="11"/>
      <c r="J213" s="11"/>
      <c r="K213" s="11"/>
      <c r="L213" s="11"/>
    </row>
    <row r="214" spans="2:12" ht="15.75" customHeight="1">
      <c r="B214" s="11"/>
      <c r="C214" s="11"/>
      <c r="D214" s="11"/>
      <c r="E214" s="11"/>
      <c r="F214" s="11"/>
      <c r="G214" s="11"/>
      <c r="H214" s="11"/>
      <c r="I214" s="11"/>
      <c r="J214" s="11"/>
      <c r="K214" s="11"/>
      <c r="L214" s="11"/>
    </row>
    <row r="215" spans="2:12" ht="15.75" customHeight="1">
      <c r="B215" s="11"/>
      <c r="C215" s="11"/>
      <c r="D215" s="11"/>
      <c r="E215" s="11"/>
      <c r="F215" s="11"/>
      <c r="G215" s="11"/>
      <c r="H215" s="11"/>
      <c r="I215" s="11"/>
      <c r="J215" s="11"/>
      <c r="K215" s="11"/>
      <c r="L215" s="11"/>
    </row>
    <row r="216" spans="2:12" ht="15.75" customHeight="1">
      <c r="B216" s="11"/>
      <c r="C216" s="11"/>
      <c r="D216" s="11"/>
      <c r="E216" s="11"/>
      <c r="F216" s="11"/>
      <c r="G216" s="11"/>
      <c r="H216" s="11"/>
      <c r="I216" s="11"/>
      <c r="J216" s="11"/>
      <c r="K216" s="11"/>
      <c r="L216" s="11"/>
    </row>
    <row r="217" spans="2:12" ht="15.75" customHeight="1">
      <c r="B217" s="11"/>
      <c r="C217" s="11"/>
      <c r="D217" s="11"/>
      <c r="E217" s="11"/>
      <c r="F217" s="11"/>
      <c r="G217" s="11"/>
      <c r="H217" s="11"/>
      <c r="I217" s="11"/>
      <c r="J217" s="11"/>
      <c r="K217" s="11"/>
      <c r="L217" s="11"/>
    </row>
    <row r="218" spans="2:12" ht="15.75" customHeight="1">
      <c r="B218" s="11"/>
      <c r="C218" s="11"/>
      <c r="D218" s="11"/>
      <c r="E218" s="11"/>
      <c r="F218" s="11"/>
      <c r="G218" s="11"/>
      <c r="H218" s="11"/>
      <c r="I218" s="11"/>
      <c r="J218" s="11"/>
      <c r="K218" s="11"/>
      <c r="L218" s="11"/>
    </row>
    <row r="219" spans="2:12" ht="15.75" customHeight="1">
      <c r="B219" s="11"/>
      <c r="C219" s="11"/>
      <c r="D219" s="11"/>
      <c r="E219" s="11"/>
      <c r="F219" s="11"/>
      <c r="G219" s="11"/>
      <c r="H219" s="11"/>
      <c r="I219" s="11"/>
      <c r="J219" s="11"/>
      <c r="K219" s="11"/>
      <c r="L219" s="11"/>
    </row>
    <row r="220" spans="2:12" ht="15.75" customHeight="1">
      <c r="B220" s="11"/>
      <c r="C220" s="11"/>
      <c r="D220" s="11"/>
      <c r="E220" s="11"/>
      <c r="F220" s="11"/>
      <c r="G220" s="11"/>
      <c r="H220" s="11"/>
      <c r="I220" s="11"/>
      <c r="J220" s="11"/>
      <c r="K220" s="11"/>
      <c r="L220" s="11"/>
    </row>
    <row r="221" spans="2:12" ht="15.75" customHeight="1">
      <c r="B221" s="11"/>
      <c r="C221" s="11"/>
      <c r="D221" s="11"/>
      <c r="E221" s="11"/>
      <c r="F221" s="11"/>
      <c r="G221" s="11"/>
      <c r="H221" s="11"/>
      <c r="I221" s="11"/>
      <c r="J221" s="11"/>
      <c r="K221" s="11"/>
      <c r="L221" s="11"/>
    </row>
    <row r="222" spans="2:12" ht="15.75" customHeight="1">
      <c r="B222" s="11"/>
      <c r="C222" s="11"/>
      <c r="D222" s="11"/>
      <c r="E222" s="11"/>
      <c r="F222" s="11"/>
      <c r="G222" s="11"/>
      <c r="H222" s="11"/>
      <c r="I222" s="11"/>
      <c r="J222" s="11"/>
      <c r="K222" s="11"/>
      <c r="L222" s="11"/>
    </row>
    <row r="223" spans="2:12" ht="15.75" customHeight="1">
      <c r="B223" s="11"/>
      <c r="C223" s="11"/>
      <c r="D223" s="11"/>
      <c r="E223" s="11"/>
      <c r="F223" s="11"/>
      <c r="G223" s="11"/>
      <c r="H223" s="11"/>
      <c r="I223" s="11"/>
      <c r="J223" s="11"/>
      <c r="K223" s="11"/>
      <c r="L223" s="11"/>
    </row>
    <row r="224" spans="2:12" ht="15.75" customHeight="1">
      <c r="B224" s="11"/>
      <c r="C224" s="11"/>
      <c r="D224" s="11"/>
      <c r="E224" s="11"/>
      <c r="F224" s="11"/>
      <c r="G224" s="11"/>
      <c r="H224" s="11"/>
      <c r="I224" s="11"/>
      <c r="J224" s="11"/>
      <c r="K224" s="11"/>
      <c r="L224" s="11"/>
    </row>
    <row r="225" spans="2:12" ht="15.75" customHeight="1">
      <c r="B225" s="11"/>
      <c r="C225" s="11"/>
      <c r="D225" s="11"/>
      <c r="E225" s="11"/>
      <c r="F225" s="11"/>
      <c r="G225" s="11"/>
      <c r="H225" s="11"/>
      <c r="I225" s="11"/>
      <c r="J225" s="11"/>
      <c r="K225" s="11"/>
      <c r="L225" s="11"/>
    </row>
    <row r="226" spans="2:12" ht="15.75" customHeight="1">
      <c r="B226" s="11"/>
      <c r="C226" s="11"/>
      <c r="D226" s="11"/>
      <c r="E226" s="11"/>
      <c r="F226" s="11"/>
      <c r="G226" s="11"/>
      <c r="H226" s="11"/>
      <c r="I226" s="11"/>
      <c r="J226" s="11"/>
      <c r="K226" s="11"/>
      <c r="L226" s="11"/>
    </row>
    <row r="227" spans="2:12" ht="15.75" customHeight="1">
      <c r="B227" s="11"/>
      <c r="C227" s="11"/>
      <c r="D227" s="11"/>
      <c r="E227" s="11"/>
      <c r="F227" s="11"/>
      <c r="G227" s="11"/>
      <c r="H227" s="11"/>
      <c r="I227" s="11"/>
      <c r="J227" s="11"/>
      <c r="K227" s="11"/>
      <c r="L227" s="11"/>
    </row>
    <row r="228" spans="2:12" ht="15.75" customHeight="1">
      <c r="B228" s="11"/>
      <c r="C228" s="11"/>
      <c r="D228" s="11"/>
      <c r="E228" s="11"/>
      <c r="F228" s="11"/>
      <c r="G228" s="11"/>
      <c r="H228" s="11"/>
      <c r="I228" s="11"/>
      <c r="J228" s="11"/>
      <c r="K228" s="11"/>
      <c r="L228" s="11"/>
    </row>
    <row r="229" spans="2:12" ht="15.75" customHeight="1">
      <c r="B229" s="11"/>
      <c r="C229" s="11"/>
      <c r="D229" s="11"/>
      <c r="E229" s="11"/>
      <c r="F229" s="11"/>
      <c r="G229" s="11"/>
      <c r="H229" s="11"/>
      <c r="I229" s="11"/>
      <c r="J229" s="11"/>
      <c r="K229" s="11"/>
      <c r="L229" s="11"/>
    </row>
    <row r="230" spans="2:12" ht="15.75" customHeight="1">
      <c r="B230" s="11"/>
      <c r="C230" s="11"/>
      <c r="D230" s="11"/>
      <c r="E230" s="11"/>
      <c r="F230" s="11"/>
      <c r="G230" s="11"/>
      <c r="H230" s="11"/>
      <c r="I230" s="11"/>
      <c r="J230" s="11"/>
      <c r="K230" s="11"/>
      <c r="L230" s="11"/>
    </row>
    <row r="231" spans="2:12" ht="15.75" customHeight="1">
      <c r="B231" s="11"/>
      <c r="C231" s="11"/>
      <c r="D231" s="11"/>
      <c r="E231" s="11"/>
      <c r="F231" s="11"/>
      <c r="G231" s="11"/>
      <c r="H231" s="11"/>
      <c r="I231" s="11"/>
      <c r="J231" s="11"/>
      <c r="K231" s="11"/>
      <c r="L231" s="11"/>
    </row>
    <row r="232" spans="2:12" ht="15.75" customHeight="1">
      <c r="B232" s="11"/>
      <c r="C232" s="11"/>
      <c r="D232" s="11"/>
      <c r="E232" s="11"/>
      <c r="F232" s="11"/>
      <c r="G232" s="11"/>
      <c r="H232" s="11"/>
      <c r="I232" s="11"/>
      <c r="J232" s="11"/>
      <c r="K232" s="11"/>
      <c r="L232" s="11"/>
    </row>
    <row r="233" spans="2:12" ht="15.75" customHeight="1">
      <c r="B233" s="11"/>
      <c r="C233" s="11"/>
      <c r="D233" s="11"/>
      <c r="E233" s="11"/>
      <c r="F233" s="11"/>
      <c r="G233" s="11"/>
      <c r="H233" s="11"/>
      <c r="I233" s="11"/>
      <c r="J233" s="11"/>
      <c r="K233" s="11"/>
      <c r="L233" s="11"/>
    </row>
    <row r="234" spans="2:12" ht="15.75" customHeight="1">
      <c r="B234" s="11"/>
      <c r="C234" s="11"/>
      <c r="D234" s="11"/>
      <c r="E234" s="11"/>
      <c r="F234" s="11"/>
      <c r="G234" s="11"/>
      <c r="H234" s="11"/>
      <c r="I234" s="11"/>
      <c r="J234" s="11"/>
      <c r="K234" s="11"/>
      <c r="L234" s="11"/>
    </row>
    <row r="235" spans="2:12" ht="15.75" customHeight="1">
      <c r="B235" s="11"/>
      <c r="C235" s="11"/>
      <c r="D235" s="11"/>
      <c r="E235" s="11"/>
      <c r="F235" s="11"/>
      <c r="G235" s="11"/>
      <c r="H235" s="11"/>
      <c r="I235" s="11"/>
      <c r="J235" s="11"/>
      <c r="K235" s="11"/>
      <c r="L235" s="11"/>
    </row>
    <row r="236" spans="2:12" ht="15.75" customHeight="1">
      <c r="B236" s="11"/>
      <c r="C236" s="11"/>
      <c r="D236" s="11"/>
      <c r="E236" s="11"/>
      <c r="F236" s="11"/>
      <c r="G236" s="11"/>
      <c r="H236" s="11"/>
      <c r="I236" s="11"/>
      <c r="J236" s="11"/>
      <c r="K236" s="11"/>
      <c r="L236" s="11"/>
    </row>
    <row r="237" spans="2:12" ht="15.75" customHeight="1">
      <c r="B237" s="11"/>
      <c r="C237" s="11"/>
      <c r="D237" s="11"/>
      <c r="E237" s="11"/>
      <c r="F237" s="11"/>
      <c r="G237" s="11"/>
      <c r="H237" s="11"/>
      <c r="I237" s="11"/>
      <c r="J237" s="11"/>
      <c r="K237" s="11"/>
      <c r="L237" s="11"/>
    </row>
    <row r="238" spans="2:12" ht="15.75" customHeight="1">
      <c r="B238" s="11"/>
      <c r="C238" s="11"/>
      <c r="D238" s="11"/>
      <c r="E238" s="11"/>
      <c r="F238" s="11"/>
      <c r="G238" s="11"/>
      <c r="H238" s="11"/>
      <c r="I238" s="11"/>
      <c r="J238" s="11"/>
      <c r="K238" s="11"/>
      <c r="L238" s="11"/>
    </row>
    <row r="239" spans="2:12" ht="15.75" customHeight="1"/>
    <row r="240" spans="2:12"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
    <mergeCell ref="E8:E9"/>
  </mergeCells>
  <printOptions horizontalCentered="1" gridLines="1"/>
  <pageMargins left="0.7" right="0.7" top="0.75" bottom="0.75" header="0" footer="0"/>
  <pageSetup fitToHeight="0" pageOrder="overThenDown" orientation="landscape" cellComments="atEnd"/>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pageSetUpPr fitToPage="1"/>
  </sheetPr>
  <dimension ref="A1:AA999"/>
  <sheetViews>
    <sheetView workbookViewId="0">
      <pane ySplit="1" topLeftCell="A18" activePane="bottomLeft" state="frozen"/>
      <selection pane="bottomLeft" sqref="A1:XFD1"/>
    </sheetView>
  </sheetViews>
  <sheetFormatPr defaultColWidth="12.609375" defaultRowHeight="15" customHeight="1"/>
  <cols>
    <col min="1" max="1" width="3.609375" customWidth="1"/>
    <col min="2" max="3" width="12.609375" customWidth="1"/>
    <col min="4" max="4" width="18.38671875" customWidth="1"/>
    <col min="5" max="5" width="16.38671875" customWidth="1"/>
    <col min="6" max="8" width="15.38671875" customWidth="1"/>
    <col min="13" max="13" width="40.88671875" customWidth="1"/>
  </cols>
  <sheetData>
    <row r="1" spans="1:27" ht="15.75" customHeight="1">
      <c r="A1" s="4"/>
      <c r="B1" s="12" t="s">
        <v>29</v>
      </c>
      <c r="C1" s="8" t="s">
        <v>37</v>
      </c>
      <c r="D1" s="8" t="s">
        <v>36</v>
      </c>
      <c r="E1" s="13" t="s">
        <v>175</v>
      </c>
      <c r="F1" s="8" t="s">
        <v>176</v>
      </c>
      <c r="G1" s="13" t="s">
        <v>177</v>
      </c>
      <c r="H1" s="13" t="s">
        <v>178</v>
      </c>
      <c r="I1" s="13" t="s">
        <v>38</v>
      </c>
      <c r="J1" s="13" t="s">
        <v>32</v>
      </c>
      <c r="K1" s="13" t="s">
        <v>33</v>
      </c>
      <c r="L1" s="13" t="s">
        <v>34</v>
      </c>
      <c r="M1" s="14" t="s">
        <v>35</v>
      </c>
      <c r="P1" s="1" t="s">
        <v>30</v>
      </c>
      <c r="Q1" s="1" t="s">
        <v>31</v>
      </c>
      <c r="R1" s="1" t="s">
        <v>47</v>
      </c>
    </row>
    <row r="2" spans="1:27" ht="15.75" customHeight="1">
      <c r="A2" s="7">
        <v>1</v>
      </c>
      <c r="B2" s="15">
        <v>45985</v>
      </c>
      <c r="C2" s="16">
        <v>0.43402777777777779</v>
      </c>
      <c r="D2" s="18" t="str">
        <f>'112225'!D2</f>
        <v>RALPH BAKER 1</v>
      </c>
      <c r="E2" s="18"/>
      <c r="F2" s="18">
        <v>3</v>
      </c>
      <c r="G2" s="18">
        <v>10</v>
      </c>
      <c r="H2" s="18">
        <v>24</v>
      </c>
      <c r="I2" s="18">
        <v>32</v>
      </c>
      <c r="J2" s="18">
        <v>120</v>
      </c>
      <c r="K2" s="18"/>
      <c r="L2" s="18">
        <v>32</v>
      </c>
      <c r="M2" s="19" t="s">
        <v>39</v>
      </c>
      <c r="P2" s="1">
        <v>3</v>
      </c>
      <c r="Q2" s="1">
        <v>10</v>
      </c>
      <c r="R2" s="1">
        <f t="shared" ref="R2:R26" si="0">P2*12+Q2</f>
        <v>46</v>
      </c>
    </row>
    <row r="3" spans="1:27" ht="15.75" customHeight="1">
      <c r="A3" s="20">
        <v>2</v>
      </c>
      <c r="B3" s="15">
        <v>45985</v>
      </c>
      <c r="C3" s="21">
        <v>0.44097222222222221</v>
      </c>
      <c r="D3" s="18" t="str">
        <f>'112225'!D3</f>
        <v>SALLY 1-12H</v>
      </c>
      <c r="E3" s="23"/>
      <c r="F3" s="24">
        <v>2</v>
      </c>
      <c r="G3" s="24">
        <v>6</v>
      </c>
      <c r="H3" s="24">
        <v>164</v>
      </c>
      <c r="I3" s="24">
        <v>149</v>
      </c>
      <c r="J3" s="24">
        <v>150</v>
      </c>
      <c r="K3" s="24">
        <v>30</v>
      </c>
      <c r="L3" s="24">
        <v>35</v>
      </c>
      <c r="M3" s="25" t="s">
        <v>39</v>
      </c>
      <c r="N3" s="26"/>
      <c r="O3" s="26"/>
      <c r="P3" s="26">
        <v>2</v>
      </c>
      <c r="Q3" s="26">
        <v>6</v>
      </c>
      <c r="R3" s="1">
        <f t="shared" si="0"/>
        <v>30</v>
      </c>
      <c r="S3" s="26"/>
      <c r="T3" s="26"/>
      <c r="U3" s="26"/>
      <c r="V3" s="26"/>
      <c r="W3" s="26"/>
      <c r="X3" s="26"/>
      <c r="Y3" s="26"/>
      <c r="Z3" s="26"/>
      <c r="AA3" s="26"/>
    </row>
    <row r="4" spans="1:27" ht="15.75" customHeight="1">
      <c r="A4" s="20">
        <v>3</v>
      </c>
      <c r="B4" s="15">
        <v>45985</v>
      </c>
      <c r="C4" s="21">
        <v>0.4513888888888889</v>
      </c>
      <c r="D4" s="18" t="str">
        <f>'112225'!D4</f>
        <v>ANITA 1-13H</v>
      </c>
      <c r="E4" s="24"/>
      <c r="F4" s="24">
        <v>1</v>
      </c>
      <c r="G4" s="24">
        <v>0</v>
      </c>
      <c r="H4" s="24">
        <v>80</v>
      </c>
      <c r="I4" s="24">
        <v>102</v>
      </c>
      <c r="J4" s="24">
        <v>175</v>
      </c>
      <c r="K4" s="24">
        <v>5</v>
      </c>
      <c r="L4" s="24">
        <v>44</v>
      </c>
      <c r="M4" s="27" t="s">
        <v>39</v>
      </c>
      <c r="N4" s="26"/>
      <c r="O4" s="26"/>
      <c r="P4" s="26">
        <v>1</v>
      </c>
      <c r="Q4" s="26">
        <v>0</v>
      </c>
      <c r="R4" s="1">
        <f t="shared" si="0"/>
        <v>12</v>
      </c>
      <c r="S4" s="26"/>
      <c r="T4" s="26"/>
      <c r="U4" s="26"/>
      <c r="V4" s="26"/>
      <c r="W4" s="26"/>
      <c r="X4" s="26"/>
      <c r="Y4" s="26"/>
      <c r="Z4" s="26"/>
      <c r="AA4" s="26"/>
    </row>
    <row r="5" spans="1:27" ht="15.75" customHeight="1">
      <c r="A5" s="7">
        <v>4</v>
      </c>
      <c r="B5" s="15">
        <v>45985</v>
      </c>
      <c r="C5" s="16">
        <v>0.46875</v>
      </c>
      <c r="D5" s="18" t="str">
        <f>'112225'!D5</f>
        <v>ARIANA 1-18H</v>
      </c>
      <c r="E5" s="18"/>
      <c r="F5" s="18">
        <v>2</v>
      </c>
      <c r="G5" s="18">
        <v>2</v>
      </c>
      <c r="H5" s="18">
        <v>123</v>
      </c>
      <c r="I5" s="18">
        <v>144</v>
      </c>
      <c r="J5" s="18">
        <v>150</v>
      </c>
      <c r="K5" s="18">
        <v>30</v>
      </c>
      <c r="L5" s="18">
        <v>43</v>
      </c>
      <c r="M5" s="19" t="s">
        <v>39</v>
      </c>
      <c r="P5" s="1">
        <v>2</v>
      </c>
      <c r="Q5" s="1">
        <v>2</v>
      </c>
      <c r="R5" s="1">
        <f t="shared" si="0"/>
        <v>26</v>
      </c>
    </row>
    <row r="6" spans="1:27" ht="15.75" customHeight="1">
      <c r="A6" s="7">
        <v>5</v>
      </c>
      <c r="B6" s="15">
        <v>45985</v>
      </c>
      <c r="C6" s="16">
        <v>0.41666666666666669</v>
      </c>
      <c r="D6" s="18" t="str">
        <f>'112225'!D6</f>
        <v>CLAY 1-6H</v>
      </c>
      <c r="E6" s="18"/>
      <c r="F6" s="18">
        <v>2</v>
      </c>
      <c r="G6" s="18">
        <v>9</v>
      </c>
      <c r="H6" s="18">
        <v>229</v>
      </c>
      <c r="I6" s="18">
        <v>209</v>
      </c>
      <c r="J6" s="18">
        <v>150</v>
      </c>
      <c r="K6" s="18">
        <v>30</v>
      </c>
      <c r="L6" s="18">
        <v>38</v>
      </c>
      <c r="M6" s="19" t="s">
        <v>39</v>
      </c>
      <c r="P6" s="1">
        <v>2</v>
      </c>
      <c r="Q6" s="1">
        <v>9</v>
      </c>
      <c r="R6" s="1">
        <f t="shared" si="0"/>
        <v>33</v>
      </c>
    </row>
    <row r="7" spans="1:27" ht="14.25" customHeight="1">
      <c r="A7" s="7">
        <v>6</v>
      </c>
      <c r="B7" s="15">
        <v>45985</v>
      </c>
      <c r="C7" s="16">
        <v>0.4236111111111111</v>
      </c>
      <c r="D7" s="18" t="str">
        <f>'112225'!D7</f>
        <v>ARIANA 1-7H</v>
      </c>
      <c r="E7" s="18"/>
      <c r="F7" s="18">
        <v>1</v>
      </c>
      <c r="G7" s="18">
        <v>10</v>
      </c>
      <c r="H7" s="18">
        <v>184</v>
      </c>
      <c r="I7" s="18">
        <v>179</v>
      </c>
      <c r="J7" s="18">
        <v>80</v>
      </c>
      <c r="K7" s="18">
        <v>50</v>
      </c>
      <c r="L7" s="18">
        <v>36</v>
      </c>
      <c r="M7" s="19" t="s">
        <v>39</v>
      </c>
      <c r="P7" s="1">
        <v>1</v>
      </c>
      <c r="Q7" s="1">
        <v>10</v>
      </c>
      <c r="R7" s="1">
        <f t="shared" si="0"/>
        <v>22</v>
      </c>
    </row>
    <row r="8" spans="1:27" ht="25.5" customHeight="1">
      <c r="A8" s="7">
        <v>7</v>
      </c>
      <c r="B8" s="15">
        <v>45985</v>
      </c>
      <c r="C8" s="16">
        <v>0.3888888888888889</v>
      </c>
      <c r="D8" s="18" t="str">
        <f>'112225'!D8</f>
        <v>PEPPER 3-4H</v>
      </c>
      <c r="E8" s="49"/>
      <c r="F8" s="18">
        <v>1</v>
      </c>
      <c r="G8" s="18">
        <v>11</v>
      </c>
      <c r="H8" s="18">
        <v>114</v>
      </c>
      <c r="I8" s="18">
        <v>64</v>
      </c>
      <c r="J8" s="18">
        <v>50</v>
      </c>
      <c r="K8" s="18">
        <v>50</v>
      </c>
      <c r="L8" s="18">
        <v>22</v>
      </c>
      <c r="M8" s="28" t="s">
        <v>48</v>
      </c>
      <c r="P8" s="1">
        <v>1</v>
      </c>
      <c r="Q8" s="1">
        <v>11</v>
      </c>
      <c r="R8" s="1">
        <f t="shared" si="0"/>
        <v>23</v>
      </c>
    </row>
    <row r="9" spans="1:27" ht="18.75" customHeight="1">
      <c r="A9" s="7">
        <v>8</v>
      </c>
      <c r="B9" s="15">
        <v>45985</v>
      </c>
      <c r="C9" s="16"/>
      <c r="D9" s="18" t="str">
        <f>'112225'!D9</f>
        <v>PEPPER 4-4H</v>
      </c>
      <c r="E9" s="50"/>
      <c r="F9" s="18"/>
      <c r="G9" s="18"/>
      <c r="H9" s="18">
        <v>82</v>
      </c>
      <c r="I9" s="18">
        <v>92</v>
      </c>
      <c r="J9" s="18">
        <v>175</v>
      </c>
      <c r="K9" s="18">
        <v>30</v>
      </c>
      <c r="L9" s="18">
        <v>32</v>
      </c>
      <c r="M9" s="19" t="s">
        <v>39</v>
      </c>
      <c r="R9" s="1">
        <f t="shared" si="0"/>
        <v>0</v>
      </c>
    </row>
    <row r="10" spans="1:27" ht="15.75" customHeight="1">
      <c r="A10" s="20">
        <v>9</v>
      </c>
      <c r="B10" s="15">
        <v>45985</v>
      </c>
      <c r="C10" s="21">
        <v>0.51041666666666663</v>
      </c>
      <c r="D10" s="18" t="str">
        <f>'112225'!D10</f>
        <v>BIRD 3319 1-6</v>
      </c>
      <c r="E10" s="23"/>
      <c r="F10" s="24">
        <v>1</v>
      </c>
      <c r="G10" s="24">
        <v>7</v>
      </c>
      <c r="H10" s="24">
        <v>0</v>
      </c>
      <c r="I10" s="24">
        <v>0</v>
      </c>
      <c r="J10" s="24">
        <v>150</v>
      </c>
      <c r="K10" s="24">
        <v>50</v>
      </c>
      <c r="L10" s="24">
        <v>34</v>
      </c>
      <c r="M10" s="19" t="s">
        <v>39</v>
      </c>
      <c r="N10" s="26"/>
      <c r="O10" s="26"/>
      <c r="P10" s="1">
        <v>1</v>
      </c>
      <c r="Q10" s="1">
        <v>7</v>
      </c>
      <c r="R10" s="1">
        <f t="shared" si="0"/>
        <v>19</v>
      </c>
      <c r="S10" s="26"/>
      <c r="T10" s="26"/>
      <c r="U10" s="26"/>
      <c r="V10" s="26"/>
      <c r="W10" s="26"/>
      <c r="X10" s="26"/>
      <c r="Y10" s="26"/>
      <c r="Z10" s="26"/>
      <c r="AA10" s="26"/>
    </row>
    <row r="11" spans="1:27" ht="15.75" customHeight="1">
      <c r="A11" s="7">
        <v>10</v>
      </c>
      <c r="B11" s="15">
        <v>45985</v>
      </c>
      <c r="C11" s="16">
        <v>0.51041666666666663</v>
      </c>
      <c r="D11" s="18" t="str">
        <f>'112225'!D11</f>
        <v>BIRD 3319 3-6</v>
      </c>
      <c r="E11" s="18"/>
      <c r="F11" s="18"/>
      <c r="G11" s="18"/>
      <c r="H11" s="18">
        <v>41</v>
      </c>
      <c r="I11" s="18">
        <v>52</v>
      </c>
      <c r="J11" s="18"/>
      <c r="K11" s="18"/>
      <c r="L11" s="18">
        <v>34</v>
      </c>
      <c r="M11" s="19" t="s">
        <v>39</v>
      </c>
      <c r="R11" s="1">
        <f t="shared" si="0"/>
        <v>0</v>
      </c>
    </row>
    <row r="12" spans="1:27" ht="15.75" customHeight="1">
      <c r="A12" s="7">
        <v>11</v>
      </c>
      <c r="B12" s="15">
        <v>45985</v>
      </c>
      <c r="C12" s="16">
        <v>0.52083333333333337</v>
      </c>
      <c r="D12" s="18" t="str">
        <f>'112225'!D12</f>
        <v>JELLISON A 11-5</v>
      </c>
      <c r="E12" s="18"/>
      <c r="F12" s="18">
        <v>1</v>
      </c>
      <c r="G12" s="18">
        <v>8</v>
      </c>
      <c r="H12" s="18">
        <v>6</v>
      </c>
      <c r="I12" s="18"/>
      <c r="J12" s="18">
        <v>100</v>
      </c>
      <c r="K12" s="18">
        <v>50</v>
      </c>
      <c r="L12" s="18"/>
      <c r="M12" s="4" t="s">
        <v>49</v>
      </c>
      <c r="P12" s="26">
        <v>1</v>
      </c>
      <c r="Q12" s="26">
        <v>8</v>
      </c>
      <c r="R12" s="1">
        <f t="shared" si="0"/>
        <v>20</v>
      </c>
    </row>
    <row r="13" spans="1:27" ht="15.75" customHeight="1">
      <c r="A13" s="20">
        <v>12</v>
      </c>
      <c r="B13" s="15">
        <v>45985</v>
      </c>
      <c r="C13" s="21">
        <v>0.52777777777777779</v>
      </c>
      <c r="D13" s="18" t="str">
        <f>'112225'!D13</f>
        <v>ROCK 3319 1-16H</v>
      </c>
      <c r="E13" s="24"/>
      <c r="F13" s="24">
        <v>2</v>
      </c>
      <c r="G13" s="24">
        <v>2</v>
      </c>
      <c r="H13" s="24">
        <v>144</v>
      </c>
      <c r="I13" s="24">
        <v>121</v>
      </c>
      <c r="J13" s="24">
        <v>120</v>
      </c>
      <c r="K13" s="24">
        <v>20</v>
      </c>
      <c r="L13" s="24">
        <v>31</v>
      </c>
      <c r="M13" s="27" t="s">
        <v>39</v>
      </c>
      <c r="N13" s="26"/>
      <c r="O13" s="26"/>
      <c r="P13" s="26">
        <v>2</v>
      </c>
      <c r="Q13" s="26">
        <v>2</v>
      </c>
      <c r="R13" s="1">
        <f t="shared" si="0"/>
        <v>26</v>
      </c>
      <c r="S13" s="26"/>
      <c r="T13" s="26"/>
      <c r="U13" s="26"/>
      <c r="V13" s="26"/>
      <c r="W13" s="26"/>
      <c r="X13" s="26"/>
      <c r="Y13" s="26"/>
      <c r="Z13" s="26"/>
      <c r="AA13" s="26"/>
    </row>
    <row r="14" spans="1:27" ht="15.75" customHeight="1">
      <c r="A14" s="7">
        <v>13</v>
      </c>
      <c r="B14" s="15">
        <v>45985</v>
      </c>
      <c r="C14" s="16">
        <v>0.61111111111111116</v>
      </c>
      <c r="D14" s="18" t="str">
        <f>'112225'!D14</f>
        <v>Dixie 3120 1‐25 SWD</v>
      </c>
      <c r="E14" s="18"/>
      <c r="F14" s="18"/>
      <c r="G14" s="18"/>
      <c r="H14" s="18"/>
      <c r="I14" s="18"/>
      <c r="J14" s="18"/>
      <c r="K14" s="18"/>
      <c r="L14" s="18"/>
      <c r="M14" s="19">
        <v>5614620</v>
      </c>
      <c r="R14" s="1">
        <f t="shared" si="0"/>
        <v>0</v>
      </c>
    </row>
    <row r="15" spans="1:27" ht="15.75" customHeight="1">
      <c r="A15" s="7">
        <v>14</v>
      </c>
      <c r="B15" s="15">
        <v>45985</v>
      </c>
      <c r="C15" s="16">
        <v>0.62152777777777779</v>
      </c>
      <c r="D15" s="18" t="str">
        <f>'112225'!D15</f>
        <v>GARLAND 1-26H</v>
      </c>
      <c r="E15" s="18"/>
      <c r="F15" s="18">
        <v>2</v>
      </c>
      <c r="G15" s="18">
        <v>8</v>
      </c>
      <c r="H15" s="18">
        <v>34</v>
      </c>
      <c r="I15" s="18">
        <v>9</v>
      </c>
      <c r="J15" s="18">
        <v>150</v>
      </c>
      <c r="K15" s="18">
        <v>50</v>
      </c>
      <c r="L15" s="18">
        <v>75</v>
      </c>
      <c r="M15" s="19" t="s">
        <v>39</v>
      </c>
      <c r="P15" s="1">
        <v>2</v>
      </c>
      <c r="Q15" s="1">
        <v>8</v>
      </c>
      <c r="R15" s="1">
        <f t="shared" si="0"/>
        <v>32</v>
      </c>
    </row>
    <row r="16" spans="1:27" ht="15.75" customHeight="1">
      <c r="A16" s="7">
        <v>15</v>
      </c>
      <c r="B16" s="15">
        <v>45985</v>
      </c>
      <c r="C16" s="16">
        <v>0.64236111111111116</v>
      </c>
      <c r="D16" s="18" t="str">
        <f>'112225'!D16</f>
        <v>PTL 1-15H</v>
      </c>
      <c r="E16" s="18"/>
      <c r="F16" s="18">
        <v>6</v>
      </c>
      <c r="G16" s="18">
        <v>1</v>
      </c>
      <c r="H16" s="18">
        <v>56</v>
      </c>
      <c r="I16" s="18">
        <v>55</v>
      </c>
      <c r="J16" s="18">
        <v>12</v>
      </c>
      <c r="K16" s="18"/>
      <c r="L16" s="18">
        <v>50</v>
      </c>
      <c r="M16" s="19" t="s">
        <v>39</v>
      </c>
      <c r="P16" s="1">
        <v>6</v>
      </c>
      <c r="Q16" s="1">
        <v>1</v>
      </c>
      <c r="R16" s="1">
        <f t="shared" si="0"/>
        <v>73</v>
      </c>
    </row>
    <row r="17" spans="1:27" ht="15.75" customHeight="1">
      <c r="A17" s="7">
        <v>16</v>
      </c>
      <c r="B17" s="15">
        <v>45985</v>
      </c>
      <c r="C17" s="16">
        <v>0.66666666666666663</v>
      </c>
      <c r="D17" s="18" t="str">
        <f>'112225'!D17</f>
        <v>GABRIEL 2-12H</v>
      </c>
      <c r="E17" s="18"/>
      <c r="F17" s="18">
        <v>7</v>
      </c>
      <c r="G17" s="18">
        <v>2</v>
      </c>
      <c r="H17" s="18">
        <v>49</v>
      </c>
      <c r="I17" s="18">
        <v>116</v>
      </c>
      <c r="J17" s="18">
        <v>200</v>
      </c>
      <c r="K17" s="18">
        <v>50</v>
      </c>
      <c r="L17" s="18">
        <v>57</v>
      </c>
      <c r="M17" s="19" t="s">
        <v>39</v>
      </c>
      <c r="P17" s="1">
        <v>7</v>
      </c>
      <c r="Q17" s="1">
        <v>2</v>
      </c>
      <c r="R17" s="1">
        <f t="shared" si="0"/>
        <v>86</v>
      </c>
    </row>
    <row r="18" spans="1:27" ht="15.75" customHeight="1">
      <c r="A18" s="7">
        <v>17</v>
      </c>
      <c r="B18" s="15">
        <v>45985</v>
      </c>
      <c r="C18" s="16">
        <v>0.6875</v>
      </c>
      <c r="D18" s="18" t="str">
        <f>'112225'!D18</f>
        <v>GABRIEL 1-12H</v>
      </c>
      <c r="E18" s="18"/>
      <c r="F18" s="18">
        <v>3</v>
      </c>
      <c r="G18" s="18">
        <v>5</v>
      </c>
      <c r="H18" s="18">
        <v>42</v>
      </c>
      <c r="I18" s="18">
        <v>21</v>
      </c>
      <c r="J18" s="18">
        <v>120</v>
      </c>
      <c r="K18" s="18">
        <v>50</v>
      </c>
      <c r="L18" s="18">
        <v>56</v>
      </c>
      <c r="M18" s="19" t="s">
        <v>39</v>
      </c>
      <c r="P18" s="1">
        <v>3</v>
      </c>
      <c r="Q18" s="1">
        <v>5</v>
      </c>
      <c r="R18" s="1">
        <f t="shared" si="0"/>
        <v>41</v>
      </c>
    </row>
    <row r="19" spans="1:27" ht="15.75" customHeight="1">
      <c r="A19" s="7">
        <v>18</v>
      </c>
      <c r="B19" s="15">
        <v>45985</v>
      </c>
      <c r="C19" s="16">
        <v>0.69791666666666663</v>
      </c>
      <c r="D19" s="18" t="str">
        <f>'112225'!D19</f>
        <v>SEAN 1-18H</v>
      </c>
      <c r="E19" s="18"/>
      <c r="F19" s="18">
        <v>7</v>
      </c>
      <c r="G19" s="18">
        <v>6</v>
      </c>
      <c r="H19" s="18">
        <v>58</v>
      </c>
      <c r="I19" s="18">
        <v>44</v>
      </c>
      <c r="J19" s="18">
        <v>150</v>
      </c>
      <c r="K19" s="18">
        <v>50</v>
      </c>
      <c r="L19" s="18">
        <v>57</v>
      </c>
      <c r="M19" s="19" t="s">
        <v>39</v>
      </c>
      <c r="P19" s="1">
        <v>7</v>
      </c>
      <c r="Q19" s="1">
        <v>6</v>
      </c>
      <c r="R19" s="1">
        <f t="shared" si="0"/>
        <v>90</v>
      </c>
    </row>
    <row r="20" spans="1:27" ht="15.75" customHeight="1">
      <c r="A20" s="7">
        <v>19</v>
      </c>
      <c r="B20" s="15">
        <v>45985</v>
      </c>
      <c r="C20" s="16">
        <v>0.70277777777777772</v>
      </c>
      <c r="D20" s="18" t="str">
        <f>'112225'!D20</f>
        <v>SEAN 3119 3-18H</v>
      </c>
      <c r="E20" s="18"/>
      <c r="F20" s="18">
        <v>1</v>
      </c>
      <c r="G20" s="18">
        <v>11</v>
      </c>
      <c r="H20" s="18">
        <v>43</v>
      </c>
      <c r="I20" s="18">
        <v>0</v>
      </c>
      <c r="J20" s="18">
        <v>100</v>
      </c>
      <c r="K20" s="18">
        <v>50</v>
      </c>
      <c r="L20" s="18">
        <v>56</v>
      </c>
      <c r="M20" s="19" t="s">
        <v>39</v>
      </c>
      <c r="P20" s="1">
        <v>1</v>
      </c>
      <c r="Q20" s="1">
        <v>11</v>
      </c>
      <c r="R20" s="1">
        <f t="shared" si="0"/>
        <v>23</v>
      </c>
    </row>
    <row r="21" spans="1:27" ht="15.75" customHeight="1">
      <c r="A21" s="7">
        <v>20</v>
      </c>
      <c r="B21" s="15">
        <v>45985</v>
      </c>
      <c r="C21" s="16">
        <v>0.70833333333333337</v>
      </c>
      <c r="D21" s="18" t="str">
        <f>'112225'!D21</f>
        <v>ELLIS 2-19H</v>
      </c>
      <c r="E21" s="18"/>
      <c r="F21" s="18">
        <v>5</v>
      </c>
      <c r="G21" s="18">
        <v>2</v>
      </c>
      <c r="H21" s="18">
        <v>95</v>
      </c>
      <c r="I21" s="18">
        <v>101</v>
      </c>
      <c r="J21" s="18">
        <v>150</v>
      </c>
      <c r="K21" s="18">
        <v>50</v>
      </c>
      <c r="L21" s="18">
        <v>56</v>
      </c>
      <c r="M21" s="19" t="s">
        <v>39</v>
      </c>
      <c r="P21" s="1">
        <v>5</v>
      </c>
      <c r="Q21" s="1">
        <v>2</v>
      </c>
      <c r="R21" s="1">
        <f t="shared" si="0"/>
        <v>62</v>
      </c>
    </row>
    <row r="22" spans="1:27" ht="15.75" customHeight="1">
      <c r="A22" s="7">
        <v>21</v>
      </c>
      <c r="B22" s="15">
        <v>45985</v>
      </c>
      <c r="C22" s="16">
        <v>0.71875</v>
      </c>
      <c r="D22" s="18" t="str">
        <f>'112225'!D22</f>
        <v>BROTHERS 1-6H</v>
      </c>
      <c r="E22" s="18"/>
      <c r="F22" s="18">
        <v>4</v>
      </c>
      <c r="G22" s="18">
        <v>4</v>
      </c>
      <c r="H22" s="18">
        <v>74</v>
      </c>
      <c r="I22" s="18">
        <v>0</v>
      </c>
      <c r="J22" s="18">
        <v>100</v>
      </c>
      <c r="K22" s="18">
        <v>50</v>
      </c>
      <c r="L22" s="18">
        <v>65</v>
      </c>
      <c r="M22" s="28" t="s">
        <v>50</v>
      </c>
      <c r="P22" s="1">
        <v>4</v>
      </c>
      <c r="Q22" s="1">
        <v>4</v>
      </c>
      <c r="R22" s="1">
        <f t="shared" si="0"/>
        <v>52</v>
      </c>
    </row>
    <row r="23" spans="1:27" ht="15.75" customHeight="1">
      <c r="A23" s="7">
        <v>22</v>
      </c>
      <c r="B23" s="15">
        <v>45985</v>
      </c>
      <c r="C23" s="16"/>
      <c r="D23" s="18" t="str">
        <f>'112225'!D23</f>
        <v>BROTHERS 2-6H</v>
      </c>
      <c r="E23" s="18"/>
      <c r="F23" s="18">
        <v>3</v>
      </c>
      <c r="G23" s="18">
        <v>0</v>
      </c>
      <c r="H23" s="18">
        <v>45</v>
      </c>
      <c r="I23" s="18">
        <v>135</v>
      </c>
      <c r="J23" s="18"/>
      <c r="K23" s="18"/>
      <c r="L23" s="18">
        <v>79</v>
      </c>
      <c r="M23" s="19" t="s">
        <v>39</v>
      </c>
      <c r="P23" s="1">
        <v>3</v>
      </c>
      <c r="Q23" s="1">
        <v>0</v>
      </c>
      <c r="R23" s="1">
        <f t="shared" si="0"/>
        <v>36</v>
      </c>
    </row>
    <row r="24" spans="1:27" ht="15.75" customHeight="1">
      <c r="A24" s="20">
        <v>23</v>
      </c>
      <c r="B24" s="33">
        <v>45985</v>
      </c>
      <c r="C24" s="21">
        <v>0.63194444444444442</v>
      </c>
      <c r="D24" s="18" t="str">
        <f>'112225'!D24</f>
        <v>SARAH 1-34H</v>
      </c>
      <c r="E24" s="23"/>
      <c r="F24" s="24">
        <v>4</v>
      </c>
      <c r="G24" s="24">
        <v>1</v>
      </c>
      <c r="H24" s="24">
        <v>77.599999999999994</v>
      </c>
      <c r="I24" s="24">
        <v>0</v>
      </c>
      <c r="J24" s="24">
        <v>90</v>
      </c>
      <c r="K24" s="24">
        <v>30.2</v>
      </c>
      <c r="L24" s="24">
        <v>50.9</v>
      </c>
      <c r="M24" s="27" t="s">
        <v>51</v>
      </c>
      <c r="N24" s="32" t="s">
        <v>52</v>
      </c>
      <c r="O24" s="26"/>
      <c r="P24" s="26">
        <v>4</v>
      </c>
      <c r="Q24" s="26">
        <v>1</v>
      </c>
      <c r="R24" s="1">
        <f t="shared" si="0"/>
        <v>49</v>
      </c>
      <c r="S24" s="26"/>
      <c r="T24" s="26"/>
      <c r="U24" s="26"/>
      <c r="V24" s="26"/>
      <c r="W24" s="26"/>
      <c r="X24" s="26"/>
      <c r="Y24" s="26"/>
      <c r="Z24" s="26"/>
      <c r="AA24" s="26"/>
    </row>
    <row r="25" spans="1:27" ht="15.75" customHeight="1">
      <c r="A25" s="20">
        <v>24</v>
      </c>
      <c r="B25" s="33">
        <v>45985</v>
      </c>
      <c r="C25" s="21">
        <v>0.63958333333333328</v>
      </c>
      <c r="D25" s="18" t="str">
        <f>'112225'!D25</f>
        <v>SARAH 2-34H</v>
      </c>
      <c r="E25" s="23"/>
      <c r="F25" s="24">
        <v>4</v>
      </c>
      <c r="G25" s="24">
        <v>0</v>
      </c>
      <c r="H25" s="24">
        <v>41.3</v>
      </c>
      <c r="I25" s="24">
        <v>0</v>
      </c>
      <c r="J25" s="24"/>
      <c r="K25" s="24"/>
      <c r="L25" s="24">
        <v>51.2</v>
      </c>
      <c r="M25" s="27" t="s">
        <v>39</v>
      </c>
      <c r="N25" s="32" t="s">
        <v>53</v>
      </c>
      <c r="O25" s="26"/>
      <c r="P25" s="26">
        <v>4</v>
      </c>
      <c r="Q25" s="26">
        <v>0</v>
      </c>
      <c r="R25" s="1">
        <f t="shared" si="0"/>
        <v>48</v>
      </c>
      <c r="S25" s="26"/>
      <c r="T25" s="26"/>
      <c r="U25" s="26"/>
      <c r="V25" s="26"/>
      <c r="W25" s="26"/>
      <c r="X25" s="26"/>
      <c r="Y25" s="26"/>
      <c r="Z25" s="26"/>
      <c r="AA25" s="26"/>
    </row>
    <row r="26" spans="1:27" ht="15.75" customHeight="1">
      <c r="A26" s="7">
        <v>25</v>
      </c>
      <c r="B26" s="15">
        <v>45985</v>
      </c>
      <c r="C26" s="16">
        <v>0.67361111111111116</v>
      </c>
      <c r="D26" s="18" t="str">
        <f>'112225'!D26</f>
        <v>WANDA 1-2H 1L</v>
      </c>
      <c r="E26" s="5"/>
      <c r="F26" s="18">
        <v>4</v>
      </c>
      <c r="G26" s="18">
        <v>1.5</v>
      </c>
      <c r="H26" s="18">
        <v>227</v>
      </c>
      <c r="I26" s="18">
        <v>227</v>
      </c>
      <c r="J26" s="18"/>
      <c r="K26" s="18"/>
      <c r="L26" s="18">
        <v>49.8</v>
      </c>
      <c r="M26" s="28" t="s">
        <v>54</v>
      </c>
      <c r="P26" s="1">
        <v>4</v>
      </c>
      <c r="Q26" s="1">
        <v>1.5</v>
      </c>
      <c r="R26" s="1">
        <f t="shared" si="0"/>
        <v>49.5</v>
      </c>
    </row>
    <row r="27" spans="1:27" ht="15.75" customHeight="1">
      <c r="A27" s="7">
        <v>26</v>
      </c>
      <c r="B27" s="15">
        <v>45985</v>
      </c>
      <c r="C27" s="29">
        <v>0.14722222222222223</v>
      </c>
      <c r="D27" s="18" t="str">
        <f>'112225'!D27</f>
        <v>Yankee 3317 1-27 SWD</v>
      </c>
      <c r="E27" s="18"/>
      <c r="F27" s="18"/>
      <c r="G27" s="18"/>
      <c r="H27" s="18"/>
      <c r="I27" s="18"/>
      <c r="J27" s="18"/>
      <c r="K27" s="18"/>
      <c r="L27" s="18"/>
      <c r="M27" s="19">
        <v>7760249.5999999996</v>
      </c>
    </row>
    <row r="28" spans="1:27" ht="15.75" customHeight="1">
      <c r="A28" s="7">
        <v>27</v>
      </c>
      <c r="B28" s="15"/>
      <c r="C28" s="18"/>
      <c r="D28" s="18"/>
      <c r="E28" s="18"/>
      <c r="F28" s="18"/>
      <c r="G28" s="18"/>
      <c r="H28" s="18"/>
      <c r="I28" s="18"/>
      <c r="J28" s="18"/>
      <c r="K28" s="18"/>
      <c r="L28" s="18"/>
      <c r="M28" s="19"/>
    </row>
    <row r="29" spans="1:27" ht="15.75" customHeight="1">
      <c r="A29" s="7">
        <v>28</v>
      </c>
      <c r="B29" s="15"/>
      <c r="C29" s="18"/>
      <c r="D29" s="18"/>
      <c r="E29" s="18"/>
      <c r="F29" s="18"/>
      <c r="G29" s="18"/>
      <c r="H29" s="18"/>
      <c r="I29" s="18"/>
      <c r="J29" s="18"/>
      <c r="K29" s="18"/>
      <c r="L29" s="18"/>
      <c r="M29" s="19"/>
    </row>
    <row r="30" spans="1:27" ht="15.75" customHeight="1">
      <c r="A30" s="7">
        <v>29</v>
      </c>
      <c r="B30" s="15"/>
      <c r="C30" s="18"/>
      <c r="D30" s="18"/>
      <c r="E30" s="18"/>
      <c r="F30" s="18"/>
      <c r="G30" s="18"/>
      <c r="H30" s="18"/>
      <c r="I30" s="18"/>
      <c r="J30" s="18"/>
      <c r="K30" s="18"/>
      <c r="L30" s="18"/>
      <c r="M30" s="19"/>
    </row>
    <row r="31" spans="1:27" ht="15.75" customHeight="1">
      <c r="A31" s="7">
        <v>30</v>
      </c>
      <c r="B31" s="15"/>
      <c r="C31" s="18"/>
      <c r="D31" s="18"/>
      <c r="E31" s="18"/>
      <c r="F31" s="18"/>
      <c r="G31" s="18"/>
      <c r="H31" s="18"/>
      <c r="I31" s="18"/>
      <c r="J31" s="18"/>
      <c r="K31" s="18"/>
      <c r="L31" s="18"/>
      <c r="M31" s="19"/>
    </row>
    <row r="32" spans="1:27" ht="15.75" customHeight="1">
      <c r="A32" s="7">
        <v>31</v>
      </c>
      <c r="B32" s="15"/>
      <c r="C32" s="18"/>
      <c r="D32" s="18"/>
      <c r="E32" s="18"/>
      <c r="F32" s="18"/>
      <c r="G32" s="18"/>
      <c r="H32" s="18"/>
      <c r="I32" s="18"/>
      <c r="J32" s="18"/>
      <c r="K32" s="18"/>
      <c r="L32" s="18"/>
      <c r="M32" s="19"/>
    </row>
    <row r="33" spans="1:13" ht="15.75" customHeight="1">
      <c r="A33" s="7">
        <v>32</v>
      </c>
      <c r="B33" s="15"/>
      <c r="C33" s="18"/>
      <c r="D33" s="18"/>
      <c r="E33" s="18"/>
      <c r="F33" s="18"/>
      <c r="G33" s="18"/>
      <c r="H33" s="18"/>
      <c r="I33" s="18"/>
      <c r="J33" s="18"/>
      <c r="K33" s="18"/>
      <c r="L33" s="18"/>
      <c r="M33" s="19"/>
    </row>
    <row r="34" spans="1:13" ht="15.75" customHeight="1">
      <c r="A34" s="7">
        <v>33</v>
      </c>
      <c r="B34" s="15"/>
      <c r="C34" s="18"/>
      <c r="D34" s="18"/>
      <c r="E34" s="18"/>
      <c r="F34" s="18"/>
      <c r="G34" s="18"/>
      <c r="H34" s="18"/>
      <c r="I34" s="18"/>
      <c r="J34" s="18"/>
      <c r="K34" s="18"/>
      <c r="L34" s="18"/>
      <c r="M34" s="19"/>
    </row>
    <row r="35" spans="1:13" ht="15.75" customHeight="1">
      <c r="A35" s="7">
        <v>34</v>
      </c>
      <c r="B35" s="15"/>
      <c r="C35" s="18"/>
      <c r="D35" s="18"/>
      <c r="E35" s="18"/>
      <c r="F35" s="18"/>
      <c r="G35" s="18"/>
      <c r="H35" s="18"/>
      <c r="I35" s="18"/>
      <c r="J35" s="18"/>
      <c r="K35" s="18"/>
      <c r="L35" s="18"/>
      <c r="M35" s="19"/>
    </row>
    <row r="36" spans="1:13" ht="15.75" customHeight="1">
      <c r="A36" s="7">
        <v>35</v>
      </c>
      <c r="B36" s="15"/>
      <c r="C36" s="18"/>
      <c r="D36" s="18"/>
      <c r="E36" s="18"/>
      <c r="F36" s="18"/>
      <c r="G36" s="18"/>
      <c r="H36" s="18"/>
      <c r="I36" s="18"/>
      <c r="J36" s="18"/>
      <c r="K36" s="18"/>
      <c r="L36" s="18"/>
      <c r="M36" s="19"/>
    </row>
    <row r="37" spans="1:13" ht="15.75" customHeight="1">
      <c r="A37" s="7">
        <v>36</v>
      </c>
      <c r="B37" s="15"/>
      <c r="C37" s="18"/>
      <c r="D37" s="18"/>
      <c r="E37" s="18"/>
      <c r="F37" s="18"/>
      <c r="G37" s="18"/>
      <c r="H37" s="18"/>
      <c r="I37" s="18"/>
      <c r="J37" s="18"/>
      <c r="K37" s="18"/>
      <c r="L37" s="18"/>
      <c r="M37" s="19"/>
    </row>
    <row r="38" spans="1:13" ht="15.75" customHeight="1">
      <c r="A38" s="4"/>
      <c r="B38" s="6"/>
      <c r="C38" s="11"/>
      <c r="D38" s="11"/>
      <c r="E38" s="11"/>
      <c r="F38" s="30"/>
      <c r="G38" s="30"/>
      <c r="H38" s="30">
        <f>SUM(H1:H37)</f>
        <v>2032.8999999999999</v>
      </c>
      <c r="I38" s="11"/>
      <c r="J38" s="11"/>
      <c r="K38" s="11"/>
      <c r="L38" s="11"/>
      <c r="M38" s="4"/>
    </row>
    <row r="39" spans="1:13" ht="15.75" customHeight="1">
      <c r="B39" s="11"/>
      <c r="C39" s="11"/>
      <c r="D39" s="11"/>
      <c r="E39" s="11"/>
      <c r="F39" s="11"/>
      <c r="G39" s="11"/>
      <c r="H39" s="11"/>
      <c r="I39" s="11"/>
      <c r="J39" s="11"/>
      <c r="K39" s="11"/>
      <c r="L39" s="11"/>
    </row>
    <row r="40" spans="1:13" ht="15.75" customHeight="1">
      <c r="B40" s="11"/>
      <c r="C40" s="11"/>
      <c r="D40" s="11"/>
      <c r="E40" s="11"/>
      <c r="F40" s="11"/>
      <c r="G40" s="11"/>
      <c r="H40" s="11"/>
      <c r="I40" s="11"/>
      <c r="J40" s="11"/>
      <c r="K40" s="11"/>
      <c r="L40" s="11"/>
    </row>
    <row r="41" spans="1:13" ht="15.75" customHeight="1">
      <c r="B41" s="11"/>
      <c r="C41" s="11"/>
      <c r="D41" s="11"/>
      <c r="E41" s="11"/>
      <c r="F41" s="11"/>
      <c r="G41" s="11"/>
      <c r="H41" s="11"/>
      <c r="I41" s="11"/>
      <c r="J41" s="11"/>
      <c r="K41" s="11"/>
      <c r="L41" s="11"/>
    </row>
    <row r="42" spans="1:13" ht="15.75" customHeight="1">
      <c r="B42" s="11"/>
      <c r="C42" s="11"/>
      <c r="D42" s="11"/>
      <c r="E42" s="11"/>
      <c r="F42" s="11"/>
      <c r="G42" s="11"/>
      <c r="H42" s="11"/>
      <c r="I42" s="11"/>
      <c r="J42" s="11"/>
      <c r="K42" s="11"/>
      <c r="L42" s="11"/>
    </row>
    <row r="43" spans="1:13" ht="15.75" customHeight="1">
      <c r="B43" s="11"/>
      <c r="C43" s="11"/>
      <c r="D43" s="11"/>
      <c r="E43" s="11"/>
      <c r="F43" s="11"/>
      <c r="G43" s="11"/>
      <c r="H43" s="11"/>
      <c r="I43" s="11"/>
      <c r="J43" s="11"/>
      <c r="K43" s="11"/>
      <c r="L43" s="11"/>
    </row>
    <row r="44" spans="1:13" ht="15.75" customHeight="1">
      <c r="B44" s="11"/>
      <c r="C44" s="11"/>
      <c r="D44" s="11"/>
      <c r="E44" s="11"/>
      <c r="F44" s="11"/>
      <c r="G44" s="11"/>
      <c r="H44" s="11"/>
      <c r="I44" s="11"/>
      <c r="J44" s="11"/>
      <c r="K44" s="11"/>
      <c r="L44" s="11"/>
    </row>
    <row r="45" spans="1:13" ht="15.75" customHeight="1">
      <c r="B45" s="11"/>
      <c r="C45" s="11"/>
      <c r="D45" s="11"/>
      <c r="E45" s="11"/>
      <c r="F45" s="11"/>
      <c r="G45" s="11"/>
      <c r="H45" s="11"/>
      <c r="I45" s="11"/>
      <c r="J45" s="11"/>
      <c r="K45" s="11"/>
      <c r="L45" s="11"/>
    </row>
    <row r="46" spans="1:13" ht="15.75" customHeight="1">
      <c r="B46" s="11"/>
      <c r="C46" s="11"/>
      <c r="D46" s="11"/>
      <c r="E46" s="11"/>
      <c r="F46" s="11"/>
      <c r="G46" s="11"/>
      <c r="H46" s="11"/>
      <c r="I46" s="11"/>
      <c r="J46" s="11"/>
      <c r="K46" s="11"/>
      <c r="L46" s="11"/>
    </row>
    <row r="47" spans="1:13" ht="15.75" customHeight="1">
      <c r="B47" s="11"/>
      <c r="C47" s="11"/>
      <c r="D47" s="11"/>
      <c r="E47" s="11"/>
      <c r="F47" s="11"/>
      <c r="G47" s="11"/>
      <c r="H47" s="11"/>
      <c r="I47" s="11"/>
      <c r="J47" s="11"/>
      <c r="K47" s="11"/>
      <c r="L47" s="11"/>
    </row>
    <row r="48" spans="1:13" ht="15.75" customHeight="1">
      <c r="B48" s="11"/>
      <c r="C48" s="11"/>
      <c r="D48" s="11"/>
      <c r="E48" s="11"/>
      <c r="F48" s="11"/>
      <c r="G48" s="11"/>
      <c r="H48" s="11"/>
      <c r="I48" s="11"/>
      <c r="J48" s="11"/>
      <c r="K48" s="11"/>
      <c r="L48" s="11"/>
    </row>
    <row r="49" spans="2:12" ht="15.75" customHeight="1">
      <c r="B49" s="11"/>
      <c r="C49" s="11"/>
      <c r="D49" s="11"/>
      <c r="E49" s="11"/>
      <c r="F49" s="11"/>
      <c r="G49" s="11"/>
      <c r="H49" s="11"/>
      <c r="I49" s="11"/>
      <c r="J49" s="11"/>
      <c r="K49" s="11"/>
      <c r="L49" s="11"/>
    </row>
    <row r="50" spans="2:12" ht="15.75" customHeight="1">
      <c r="B50" s="11"/>
      <c r="C50" s="11"/>
      <c r="D50" s="11"/>
      <c r="E50" s="11"/>
      <c r="F50" s="11"/>
      <c r="G50" s="11"/>
      <c r="H50" s="11"/>
      <c r="I50" s="11"/>
      <c r="J50" s="11"/>
      <c r="K50" s="11"/>
      <c r="L50" s="11"/>
    </row>
    <row r="51" spans="2:12" ht="15.75" customHeight="1">
      <c r="B51" s="11"/>
      <c r="C51" s="11"/>
      <c r="D51" s="11"/>
      <c r="E51" s="11"/>
      <c r="F51" s="11"/>
      <c r="G51" s="11"/>
      <c r="H51" s="11"/>
      <c r="I51" s="11"/>
      <c r="J51" s="11"/>
      <c r="K51" s="11"/>
      <c r="L51" s="11"/>
    </row>
    <row r="52" spans="2:12" ht="15.75" customHeight="1">
      <c r="B52" s="11"/>
      <c r="C52" s="11"/>
      <c r="D52" s="11"/>
      <c r="E52" s="11"/>
      <c r="F52" s="11"/>
      <c r="G52" s="11"/>
      <c r="H52" s="11"/>
      <c r="I52" s="11"/>
      <c r="J52" s="11"/>
      <c r="K52" s="11"/>
      <c r="L52" s="11"/>
    </row>
    <row r="53" spans="2:12" ht="15.75" customHeight="1">
      <c r="B53" s="11"/>
      <c r="C53" s="11"/>
      <c r="D53" s="11"/>
      <c r="E53" s="11"/>
      <c r="F53" s="11"/>
      <c r="G53" s="11"/>
      <c r="H53" s="11"/>
      <c r="I53" s="11"/>
      <c r="J53" s="11"/>
      <c r="K53" s="11"/>
      <c r="L53" s="11"/>
    </row>
    <row r="54" spans="2:12" ht="15.75" customHeight="1">
      <c r="B54" s="11"/>
      <c r="C54" s="11"/>
      <c r="D54" s="11"/>
      <c r="E54" s="11"/>
      <c r="F54" s="11"/>
      <c r="G54" s="11"/>
      <c r="H54" s="11"/>
      <c r="I54" s="11"/>
      <c r="J54" s="11"/>
      <c r="K54" s="11"/>
      <c r="L54" s="11"/>
    </row>
    <row r="55" spans="2:12" ht="15.75" customHeight="1">
      <c r="B55" s="11"/>
      <c r="C55" s="11"/>
      <c r="D55" s="11"/>
      <c r="E55" s="11"/>
      <c r="F55" s="11"/>
      <c r="G55" s="11"/>
      <c r="H55" s="11"/>
      <c r="I55" s="11"/>
      <c r="J55" s="11"/>
      <c r="K55" s="11"/>
      <c r="L55" s="11"/>
    </row>
    <row r="56" spans="2:12" ht="15.75" customHeight="1">
      <c r="B56" s="11"/>
      <c r="C56" s="11"/>
      <c r="D56" s="11"/>
      <c r="E56" s="11"/>
      <c r="F56" s="11"/>
      <c r="G56" s="11"/>
      <c r="H56" s="11"/>
      <c r="I56" s="11"/>
      <c r="J56" s="11"/>
      <c r="K56" s="11"/>
      <c r="L56" s="11"/>
    </row>
    <row r="57" spans="2:12" ht="15.75" customHeight="1">
      <c r="B57" s="11"/>
      <c r="C57" s="11"/>
      <c r="D57" s="11"/>
      <c r="E57" s="11"/>
      <c r="F57" s="11"/>
      <c r="G57" s="11"/>
      <c r="H57" s="11"/>
      <c r="I57" s="11"/>
      <c r="J57" s="11"/>
      <c r="K57" s="11"/>
      <c r="L57" s="11"/>
    </row>
    <row r="58" spans="2:12" ht="15.75" customHeight="1">
      <c r="B58" s="11"/>
      <c r="C58" s="11"/>
      <c r="D58" s="11"/>
      <c r="E58" s="11"/>
      <c r="F58" s="11"/>
      <c r="G58" s="11"/>
      <c r="H58" s="11"/>
      <c r="I58" s="11"/>
      <c r="J58" s="11"/>
      <c r="K58" s="11"/>
      <c r="L58" s="11"/>
    </row>
    <row r="59" spans="2:12" ht="15.75" customHeight="1">
      <c r="B59" s="11"/>
      <c r="C59" s="11"/>
      <c r="D59" s="11"/>
      <c r="E59" s="11"/>
      <c r="F59" s="11"/>
      <c r="G59" s="11"/>
      <c r="H59" s="11"/>
      <c r="I59" s="11"/>
      <c r="J59" s="11"/>
      <c r="K59" s="11"/>
      <c r="L59" s="11"/>
    </row>
    <row r="60" spans="2:12" ht="15.75" customHeight="1">
      <c r="B60" s="11"/>
      <c r="C60" s="11"/>
      <c r="D60" s="11"/>
      <c r="E60" s="11"/>
      <c r="F60" s="11"/>
      <c r="G60" s="11"/>
      <c r="H60" s="11"/>
      <c r="I60" s="11"/>
      <c r="J60" s="11"/>
      <c r="K60" s="11"/>
      <c r="L60" s="11"/>
    </row>
    <row r="61" spans="2:12" ht="15.75" customHeight="1">
      <c r="B61" s="11"/>
      <c r="C61" s="11"/>
      <c r="D61" s="11"/>
      <c r="E61" s="11"/>
      <c r="F61" s="11"/>
      <c r="G61" s="11"/>
      <c r="H61" s="11"/>
      <c r="I61" s="11"/>
      <c r="J61" s="11"/>
      <c r="K61" s="11"/>
      <c r="L61" s="11"/>
    </row>
    <row r="62" spans="2:12" ht="15.75" customHeight="1">
      <c r="B62" s="11"/>
      <c r="C62" s="11"/>
      <c r="D62" s="11"/>
      <c r="E62" s="11"/>
      <c r="F62" s="11"/>
      <c r="G62" s="11"/>
      <c r="H62" s="11"/>
      <c r="I62" s="11"/>
      <c r="J62" s="11"/>
      <c r="K62" s="11"/>
      <c r="L62" s="11"/>
    </row>
    <row r="63" spans="2:12" ht="15.75" customHeight="1">
      <c r="B63" s="11"/>
      <c r="C63" s="11"/>
      <c r="D63" s="11"/>
      <c r="E63" s="11"/>
      <c r="F63" s="11"/>
      <c r="G63" s="11"/>
      <c r="H63" s="11"/>
      <c r="I63" s="11"/>
      <c r="J63" s="11"/>
      <c r="K63" s="11"/>
      <c r="L63" s="11"/>
    </row>
    <row r="64" spans="2:12" ht="15.75" customHeight="1">
      <c r="B64" s="11"/>
      <c r="C64" s="11"/>
      <c r="D64" s="11"/>
      <c r="E64" s="11"/>
      <c r="F64" s="11"/>
      <c r="G64" s="11"/>
      <c r="H64" s="11"/>
      <c r="I64" s="11"/>
      <c r="J64" s="11"/>
      <c r="K64" s="11"/>
      <c r="L64" s="11"/>
    </row>
    <row r="65" spans="2:12" ht="15.75" customHeight="1">
      <c r="B65" s="11"/>
      <c r="C65" s="11"/>
      <c r="D65" s="11"/>
      <c r="E65" s="11"/>
      <c r="F65" s="11"/>
      <c r="G65" s="11"/>
      <c r="H65" s="11"/>
      <c r="I65" s="11"/>
      <c r="J65" s="11"/>
      <c r="K65" s="11"/>
      <c r="L65" s="11"/>
    </row>
    <row r="66" spans="2:12" ht="15.75" customHeight="1">
      <c r="B66" s="11"/>
      <c r="C66" s="11"/>
      <c r="D66" s="11"/>
      <c r="E66" s="11"/>
      <c r="F66" s="11"/>
      <c r="G66" s="11"/>
      <c r="H66" s="11"/>
      <c r="I66" s="11"/>
      <c r="J66" s="11"/>
      <c r="K66" s="11"/>
      <c r="L66" s="11"/>
    </row>
    <row r="67" spans="2:12" ht="15.75" customHeight="1">
      <c r="B67" s="11"/>
      <c r="C67" s="11"/>
      <c r="D67" s="11"/>
      <c r="E67" s="11"/>
      <c r="F67" s="11"/>
      <c r="G67" s="11"/>
      <c r="H67" s="11"/>
      <c r="I67" s="11"/>
      <c r="J67" s="11"/>
      <c r="K67" s="11"/>
      <c r="L67" s="11"/>
    </row>
    <row r="68" spans="2:12" ht="15.75" customHeight="1">
      <c r="B68" s="11"/>
      <c r="C68" s="11"/>
      <c r="D68" s="11"/>
      <c r="E68" s="11"/>
      <c r="F68" s="11"/>
      <c r="G68" s="11"/>
      <c r="H68" s="11"/>
      <c r="I68" s="11"/>
      <c r="J68" s="11"/>
      <c r="K68" s="11"/>
      <c r="L68" s="11"/>
    </row>
    <row r="69" spans="2:12" ht="15.75" customHeight="1">
      <c r="B69" s="11"/>
      <c r="C69" s="11"/>
      <c r="D69" s="11"/>
      <c r="E69" s="11"/>
      <c r="F69" s="11"/>
      <c r="G69" s="11"/>
      <c r="H69" s="11"/>
      <c r="I69" s="11"/>
      <c r="J69" s="11"/>
      <c r="K69" s="11"/>
      <c r="L69" s="11"/>
    </row>
    <row r="70" spans="2:12" ht="15.75" customHeight="1">
      <c r="B70" s="11"/>
      <c r="C70" s="11"/>
      <c r="D70" s="11"/>
      <c r="E70" s="11"/>
      <c r="F70" s="11"/>
      <c r="G70" s="11"/>
      <c r="H70" s="11"/>
      <c r="I70" s="11"/>
      <c r="J70" s="11"/>
      <c r="K70" s="11"/>
      <c r="L70" s="11"/>
    </row>
    <row r="71" spans="2:12" ht="15.75" customHeight="1">
      <c r="B71" s="11"/>
      <c r="C71" s="11"/>
      <c r="D71" s="11"/>
      <c r="E71" s="11"/>
      <c r="F71" s="11"/>
      <c r="G71" s="11"/>
      <c r="H71" s="11"/>
      <c r="I71" s="11"/>
      <c r="J71" s="11"/>
      <c r="K71" s="11"/>
      <c r="L71" s="11"/>
    </row>
    <row r="72" spans="2:12" ht="15.75" customHeight="1">
      <c r="B72" s="11"/>
      <c r="C72" s="11"/>
      <c r="D72" s="11"/>
      <c r="E72" s="11"/>
      <c r="F72" s="11"/>
      <c r="G72" s="11"/>
      <c r="H72" s="11"/>
      <c r="I72" s="11"/>
      <c r="J72" s="11"/>
      <c r="K72" s="11"/>
      <c r="L72" s="11"/>
    </row>
    <row r="73" spans="2:12" ht="15.75" customHeight="1">
      <c r="B73" s="11"/>
      <c r="C73" s="11"/>
      <c r="D73" s="11"/>
      <c r="E73" s="11"/>
      <c r="F73" s="11"/>
      <c r="G73" s="11"/>
      <c r="H73" s="11"/>
      <c r="I73" s="11"/>
      <c r="J73" s="11"/>
      <c r="K73" s="11"/>
      <c r="L73" s="11"/>
    </row>
    <row r="74" spans="2:12" ht="15.75" customHeight="1">
      <c r="B74" s="11"/>
      <c r="C74" s="11"/>
      <c r="D74" s="11"/>
      <c r="E74" s="11"/>
      <c r="F74" s="11"/>
      <c r="G74" s="11"/>
      <c r="H74" s="11"/>
      <c r="I74" s="11"/>
      <c r="J74" s="11"/>
      <c r="K74" s="11"/>
      <c r="L74" s="11"/>
    </row>
    <row r="75" spans="2:12" ht="15.75" customHeight="1">
      <c r="B75" s="11"/>
      <c r="C75" s="11"/>
      <c r="D75" s="11"/>
      <c r="E75" s="11"/>
      <c r="F75" s="11"/>
      <c r="G75" s="11"/>
      <c r="H75" s="11"/>
      <c r="I75" s="11"/>
      <c r="J75" s="11"/>
      <c r="K75" s="11"/>
      <c r="L75" s="11"/>
    </row>
    <row r="76" spans="2:12" ht="15.75" customHeight="1">
      <c r="B76" s="11"/>
      <c r="C76" s="11"/>
      <c r="D76" s="11"/>
      <c r="E76" s="11"/>
      <c r="F76" s="11"/>
      <c r="G76" s="11"/>
      <c r="H76" s="11"/>
      <c r="I76" s="11"/>
      <c r="J76" s="11"/>
      <c r="K76" s="11"/>
      <c r="L76" s="11"/>
    </row>
    <row r="77" spans="2:12" ht="15.75" customHeight="1">
      <c r="B77" s="11"/>
      <c r="C77" s="11"/>
      <c r="D77" s="11"/>
      <c r="E77" s="11"/>
      <c r="F77" s="11"/>
      <c r="G77" s="11"/>
      <c r="H77" s="11"/>
      <c r="I77" s="11"/>
      <c r="J77" s="11"/>
      <c r="K77" s="11"/>
      <c r="L77" s="11"/>
    </row>
    <row r="78" spans="2:12" ht="15.75" customHeight="1">
      <c r="B78" s="11"/>
      <c r="C78" s="11"/>
      <c r="D78" s="11"/>
      <c r="E78" s="11"/>
      <c r="F78" s="11"/>
      <c r="G78" s="11"/>
      <c r="H78" s="11"/>
      <c r="I78" s="11"/>
      <c r="J78" s="11"/>
      <c r="K78" s="11"/>
      <c r="L78" s="11"/>
    </row>
    <row r="79" spans="2:12" ht="15.75" customHeight="1">
      <c r="B79" s="11"/>
      <c r="C79" s="11"/>
      <c r="D79" s="11"/>
      <c r="E79" s="11"/>
      <c r="F79" s="11"/>
      <c r="G79" s="11"/>
      <c r="H79" s="11"/>
      <c r="I79" s="11"/>
      <c r="J79" s="11"/>
      <c r="K79" s="11"/>
      <c r="L79" s="11"/>
    </row>
    <row r="80" spans="2:12" ht="15.75" customHeight="1">
      <c r="B80" s="11"/>
      <c r="C80" s="11"/>
      <c r="D80" s="11"/>
      <c r="E80" s="11"/>
      <c r="F80" s="11"/>
      <c r="G80" s="11"/>
      <c r="H80" s="11"/>
      <c r="I80" s="11"/>
      <c r="J80" s="11"/>
      <c r="K80" s="11"/>
      <c r="L80" s="11"/>
    </row>
    <row r="81" spans="2:12" ht="15.75" customHeight="1">
      <c r="B81" s="11"/>
      <c r="C81" s="11"/>
      <c r="D81" s="11"/>
      <c r="E81" s="11"/>
      <c r="F81" s="11"/>
      <c r="G81" s="11"/>
      <c r="H81" s="11"/>
      <c r="I81" s="11"/>
      <c r="J81" s="11"/>
      <c r="K81" s="11"/>
      <c r="L81" s="11"/>
    </row>
    <row r="82" spans="2:12" ht="15.75" customHeight="1">
      <c r="B82" s="11"/>
      <c r="C82" s="11"/>
      <c r="D82" s="11"/>
      <c r="E82" s="11"/>
      <c r="F82" s="11"/>
      <c r="G82" s="11"/>
      <c r="H82" s="11"/>
      <c r="I82" s="11"/>
      <c r="J82" s="11"/>
      <c r="K82" s="11"/>
      <c r="L82" s="11"/>
    </row>
    <row r="83" spans="2:12" ht="15.75" customHeight="1">
      <c r="B83" s="11"/>
      <c r="C83" s="11"/>
      <c r="D83" s="11"/>
      <c r="E83" s="11"/>
      <c r="F83" s="11"/>
      <c r="G83" s="11"/>
      <c r="H83" s="11"/>
      <c r="I83" s="11"/>
      <c r="J83" s="11"/>
      <c r="K83" s="11"/>
      <c r="L83" s="11"/>
    </row>
    <row r="84" spans="2:12" ht="15.75" customHeight="1">
      <c r="B84" s="11"/>
      <c r="C84" s="11"/>
      <c r="D84" s="11"/>
      <c r="E84" s="11"/>
      <c r="F84" s="11"/>
      <c r="G84" s="11"/>
      <c r="H84" s="11"/>
      <c r="I84" s="11"/>
      <c r="J84" s="11"/>
      <c r="K84" s="11"/>
      <c r="L84" s="11"/>
    </row>
    <row r="85" spans="2:12" ht="15.75" customHeight="1">
      <c r="B85" s="11"/>
      <c r="C85" s="11"/>
      <c r="D85" s="11"/>
      <c r="E85" s="11"/>
      <c r="F85" s="11"/>
      <c r="G85" s="11"/>
      <c r="H85" s="11"/>
      <c r="I85" s="11"/>
      <c r="J85" s="11"/>
      <c r="K85" s="11"/>
      <c r="L85" s="11"/>
    </row>
    <row r="86" spans="2:12" ht="15.75" customHeight="1">
      <c r="B86" s="11"/>
      <c r="C86" s="11"/>
      <c r="D86" s="11"/>
      <c r="E86" s="11"/>
      <c r="F86" s="11"/>
      <c r="G86" s="11"/>
      <c r="H86" s="11"/>
      <c r="I86" s="11"/>
      <c r="J86" s="11"/>
      <c r="K86" s="11"/>
      <c r="L86" s="11"/>
    </row>
    <row r="87" spans="2:12" ht="15.75" customHeight="1">
      <c r="B87" s="11"/>
      <c r="C87" s="11"/>
      <c r="D87" s="11"/>
      <c r="E87" s="11"/>
      <c r="F87" s="11"/>
      <c r="G87" s="11"/>
      <c r="H87" s="11"/>
      <c r="I87" s="11"/>
      <c r="J87" s="11"/>
      <c r="K87" s="11"/>
      <c r="L87" s="11"/>
    </row>
    <row r="88" spans="2:12" ht="15.75" customHeight="1">
      <c r="B88" s="11"/>
      <c r="C88" s="11"/>
      <c r="D88" s="11"/>
      <c r="E88" s="11"/>
      <c r="F88" s="11"/>
      <c r="G88" s="11"/>
      <c r="H88" s="11"/>
      <c r="I88" s="11"/>
      <c r="J88" s="11"/>
      <c r="K88" s="11"/>
      <c r="L88" s="11"/>
    </row>
    <row r="89" spans="2:12" ht="15.75" customHeight="1">
      <c r="B89" s="11"/>
      <c r="C89" s="11"/>
      <c r="D89" s="11"/>
      <c r="E89" s="11"/>
      <c r="F89" s="11"/>
      <c r="G89" s="11"/>
      <c r="H89" s="11"/>
      <c r="I89" s="11"/>
      <c r="J89" s="11"/>
      <c r="K89" s="11"/>
      <c r="L89" s="11"/>
    </row>
    <row r="90" spans="2:12" ht="15.75" customHeight="1">
      <c r="B90" s="11"/>
      <c r="C90" s="11"/>
      <c r="D90" s="11"/>
      <c r="E90" s="11"/>
      <c r="F90" s="11"/>
      <c r="G90" s="11"/>
      <c r="H90" s="11"/>
      <c r="I90" s="11"/>
      <c r="J90" s="11"/>
      <c r="K90" s="11"/>
      <c r="L90" s="11"/>
    </row>
    <row r="91" spans="2:12" ht="15.75" customHeight="1">
      <c r="B91" s="11"/>
      <c r="C91" s="11"/>
      <c r="D91" s="11"/>
      <c r="E91" s="11"/>
      <c r="F91" s="11"/>
      <c r="G91" s="11"/>
      <c r="H91" s="11"/>
      <c r="I91" s="11"/>
      <c r="J91" s="11"/>
      <c r="K91" s="11"/>
      <c r="L91" s="11"/>
    </row>
    <row r="92" spans="2:12" ht="15.75" customHeight="1">
      <c r="B92" s="11"/>
      <c r="C92" s="11"/>
      <c r="D92" s="11"/>
      <c r="E92" s="11"/>
      <c r="F92" s="11"/>
      <c r="G92" s="11"/>
      <c r="H92" s="11"/>
      <c r="I92" s="11"/>
      <c r="J92" s="11"/>
      <c r="K92" s="11"/>
      <c r="L92" s="11"/>
    </row>
    <row r="93" spans="2:12" ht="15.75" customHeight="1">
      <c r="B93" s="11"/>
      <c r="C93" s="11"/>
      <c r="D93" s="11"/>
      <c r="E93" s="11"/>
      <c r="F93" s="11"/>
      <c r="G93" s="11"/>
      <c r="H93" s="11"/>
      <c r="I93" s="11"/>
      <c r="J93" s="11"/>
      <c r="K93" s="11"/>
      <c r="L93" s="11"/>
    </row>
    <row r="94" spans="2:12" ht="15.75" customHeight="1">
      <c r="B94" s="11"/>
      <c r="C94" s="11"/>
      <c r="D94" s="11"/>
      <c r="E94" s="11"/>
      <c r="F94" s="11"/>
      <c r="G94" s="11"/>
      <c r="H94" s="11"/>
      <c r="I94" s="11"/>
      <c r="J94" s="11"/>
      <c r="K94" s="11"/>
      <c r="L94" s="11"/>
    </row>
    <row r="95" spans="2:12" ht="15.75" customHeight="1">
      <c r="B95" s="11"/>
      <c r="C95" s="11"/>
      <c r="D95" s="11"/>
      <c r="E95" s="11"/>
      <c r="F95" s="11"/>
      <c r="G95" s="11"/>
      <c r="H95" s="11"/>
      <c r="I95" s="11"/>
      <c r="J95" s="11"/>
      <c r="K95" s="11"/>
      <c r="L95" s="11"/>
    </row>
    <row r="96" spans="2:12" ht="15.75" customHeight="1">
      <c r="B96" s="11"/>
      <c r="C96" s="11"/>
      <c r="D96" s="11"/>
      <c r="E96" s="11"/>
      <c r="F96" s="11"/>
      <c r="G96" s="11"/>
      <c r="H96" s="11"/>
      <c r="I96" s="11"/>
      <c r="J96" s="11"/>
      <c r="K96" s="11"/>
      <c r="L96" s="11"/>
    </row>
    <row r="97" spans="2:12" ht="15.75" customHeight="1">
      <c r="B97" s="11"/>
      <c r="C97" s="11"/>
      <c r="D97" s="11"/>
      <c r="E97" s="11"/>
      <c r="F97" s="11"/>
      <c r="G97" s="11"/>
      <c r="H97" s="11"/>
      <c r="I97" s="11"/>
      <c r="J97" s="11"/>
      <c r="K97" s="11"/>
      <c r="L97" s="11"/>
    </row>
    <row r="98" spans="2:12" ht="15.75" customHeight="1">
      <c r="B98" s="11"/>
      <c r="C98" s="11"/>
      <c r="D98" s="11"/>
      <c r="E98" s="11"/>
      <c r="F98" s="11"/>
      <c r="G98" s="11"/>
      <c r="H98" s="11"/>
      <c r="I98" s="11"/>
      <c r="J98" s="11"/>
      <c r="K98" s="11"/>
      <c r="L98" s="11"/>
    </row>
    <row r="99" spans="2:12" ht="15.75" customHeight="1">
      <c r="B99" s="11"/>
      <c r="C99" s="11"/>
      <c r="D99" s="11"/>
      <c r="E99" s="11"/>
      <c r="F99" s="11"/>
      <c r="G99" s="11"/>
      <c r="H99" s="11"/>
      <c r="I99" s="11"/>
      <c r="J99" s="11"/>
      <c r="K99" s="11"/>
      <c r="L99" s="11"/>
    </row>
    <row r="100" spans="2:12" ht="15.75" customHeight="1">
      <c r="B100" s="11"/>
      <c r="C100" s="11"/>
      <c r="D100" s="11"/>
      <c r="E100" s="11"/>
      <c r="F100" s="11"/>
      <c r="G100" s="11"/>
      <c r="H100" s="11"/>
      <c r="I100" s="11"/>
      <c r="J100" s="11"/>
      <c r="K100" s="11"/>
      <c r="L100" s="11"/>
    </row>
    <row r="101" spans="2:12" ht="15.75" customHeight="1">
      <c r="B101" s="11"/>
      <c r="C101" s="11"/>
      <c r="D101" s="11"/>
      <c r="E101" s="11"/>
      <c r="F101" s="11"/>
      <c r="G101" s="11"/>
      <c r="H101" s="11"/>
      <c r="I101" s="11"/>
      <c r="J101" s="11"/>
      <c r="K101" s="11"/>
      <c r="L101" s="11"/>
    </row>
    <row r="102" spans="2:12" ht="15.75" customHeight="1">
      <c r="B102" s="11"/>
      <c r="C102" s="11"/>
      <c r="D102" s="11"/>
      <c r="E102" s="11"/>
      <c r="F102" s="11"/>
      <c r="G102" s="11"/>
      <c r="H102" s="11"/>
      <c r="I102" s="11"/>
      <c r="J102" s="11"/>
      <c r="K102" s="11"/>
      <c r="L102" s="11"/>
    </row>
    <row r="103" spans="2:12" ht="15.75" customHeight="1">
      <c r="B103" s="11"/>
      <c r="C103" s="11"/>
      <c r="D103" s="11"/>
      <c r="E103" s="11"/>
      <c r="F103" s="11"/>
      <c r="G103" s="11"/>
      <c r="H103" s="11"/>
      <c r="I103" s="11"/>
      <c r="J103" s="11"/>
      <c r="K103" s="11"/>
      <c r="L103" s="11"/>
    </row>
    <row r="104" spans="2:12" ht="15.75" customHeight="1">
      <c r="B104" s="11"/>
      <c r="C104" s="11"/>
      <c r="D104" s="11"/>
      <c r="E104" s="11"/>
      <c r="F104" s="11"/>
      <c r="G104" s="11"/>
      <c r="H104" s="11"/>
      <c r="I104" s="11"/>
      <c r="J104" s="11"/>
      <c r="K104" s="11"/>
      <c r="L104" s="11"/>
    </row>
    <row r="105" spans="2:12" ht="15.75" customHeight="1">
      <c r="B105" s="11"/>
      <c r="C105" s="11"/>
      <c r="D105" s="11"/>
      <c r="E105" s="11"/>
      <c r="F105" s="11"/>
      <c r="G105" s="11"/>
      <c r="H105" s="11"/>
      <c r="I105" s="11"/>
      <c r="J105" s="11"/>
      <c r="K105" s="11"/>
      <c r="L105" s="11"/>
    </row>
    <row r="106" spans="2:12" ht="15.75" customHeight="1">
      <c r="B106" s="11"/>
      <c r="C106" s="11"/>
      <c r="D106" s="11"/>
      <c r="E106" s="11"/>
      <c r="F106" s="11"/>
      <c r="G106" s="11"/>
      <c r="H106" s="11"/>
      <c r="I106" s="11"/>
      <c r="J106" s="11"/>
      <c r="K106" s="11"/>
      <c r="L106" s="11"/>
    </row>
    <row r="107" spans="2:12" ht="15.75" customHeight="1">
      <c r="B107" s="11"/>
      <c r="C107" s="11"/>
      <c r="D107" s="11"/>
      <c r="E107" s="11"/>
      <c r="F107" s="11"/>
      <c r="G107" s="11"/>
      <c r="H107" s="11"/>
      <c r="I107" s="11"/>
      <c r="J107" s="11"/>
      <c r="K107" s="11"/>
      <c r="L107" s="11"/>
    </row>
    <row r="108" spans="2:12" ht="15.75" customHeight="1">
      <c r="B108" s="11"/>
      <c r="C108" s="11"/>
      <c r="D108" s="11"/>
      <c r="E108" s="11"/>
      <c r="F108" s="11"/>
      <c r="G108" s="11"/>
      <c r="H108" s="11"/>
      <c r="I108" s="11"/>
      <c r="J108" s="11"/>
      <c r="K108" s="11"/>
      <c r="L108" s="11"/>
    </row>
    <row r="109" spans="2:12" ht="15.75" customHeight="1">
      <c r="B109" s="11"/>
      <c r="C109" s="11"/>
      <c r="D109" s="11"/>
      <c r="E109" s="11"/>
      <c r="F109" s="11"/>
      <c r="G109" s="11"/>
      <c r="H109" s="11"/>
      <c r="I109" s="11"/>
      <c r="J109" s="11"/>
      <c r="K109" s="11"/>
      <c r="L109" s="11"/>
    </row>
    <row r="110" spans="2:12" ht="15.75" customHeight="1">
      <c r="B110" s="11"/>
      <c r="C110" s="11"/>
      <c r="D110" s="11"/>
      <c r="E110" s="11"/>
      <c r="F110" s="11"/>
      <c r="G110" s="11"/>
      <c r="H110" s="11"/>
      <c r="I110" s="11"/>
      <c r="J110" s="11"/>
      <c r="K110" s="11"/>
      <c r="L110" s="11"/>
    </row>
    <row r="111" spans="2:12" ht="15.75" customHeight="1">
      <c r="B111" s="11"/>
      <c r="C111" s="11"/>
      <c r="D111" s="11"/>
      <c r="E111" s="11"/>
      <c r="F111" s="11"/>
      <c r="G111" s="11"/>
      <c r="H111" s="11"/>
      <c r="I111" s="11"/>
      <c r="J111" s="11"/>
      <c r="K111" s="11"/>
      <c r="L111" s="11"/>
    </row>
    <row r="112" spans="2:12" ht="15.75" customHeight="1">
      <c r="B112" s="11"/>
      <c r="C112" s="11"/>
      <c r="D112" s="11"/>
      <c r="E112" s="11"/>
      <c r="F112" s="11"/>
      <c r="G112" s="11"/>
      <c r="H112" s="11"/>
      <c r="I112" s="11"/>
      <c r="J112" s="11"/>
      <c r="K112" s="11"/>
      <c r="L112" s="11"/>
    </row>
    <row r="113" spans="2:12" ht="15.75" customHeight="1">
      <c r="B113" s="11"/>
      <c r="C113" s="11"/>
      <c r="D113" s="11"/>
      <c r="E113" s="11"/>
      <c r="F113" s="11"/>
      <c r="G113" s="11"/>
      <c r="H113" s="11"/>
      <c r="I113" s="11"/>
      <c r="J113" s="11"/>
      <c r="K113" s="11"/>
      <c r="L113" s="11"/>
    </row>
    <row r="114" spans="2:12" ht="15.75" customHeight="1">
      <c r="B114" s="11"/>
      <c r="C114" s="11"/>
      <c r="D114" s="11"/>
      <c r="E114" s="11"/>
      <c r="F114" s="11"/>
      <c r="G114" s="11"/>
      <c r="H114" s="11"/>
      <c r="I114" s="11"/>
      <c r="J114" s="11"/>
      <c r="K114" s="11"/>
      <c r="L114" s="11"/>
    </row>
    <row r="115" spans="2:12" ht="15.75" customHeight="1">
      <c r="B115" s="11"/>
      <c r="C115" s="11"/>
      <c r="D115" s="11"/>
      <c r="E115" s="11"/>
      <c r="F115" s="11"/>
      <c r="G115" s="11"/>
      <c r="H115" s="11"/>
      <c r="I115" s="11"/>
      <c r="J115" s="11"/>
      <c r="K115" s="11"/>
      <c r="L115" s="11"/>
    </row>
    <row r="116" spans="2:12" ht="15.75" customHeight="1">
      <c r="B116" s="11"/>
      <c r="C116" s="11"/>
      <c r="D116" s="11"/>
      <c r="E116" s="11"/>
      <c r="F116" s="11"/>
      <c r="G116" s="11"/>
      <c r="H116" s="11"/>
      <c r="I116" s="11"/>
      <c r="J116" s="11"/>
      <c r="K116" s="11"/>
      <c r="L116" s="11"/>
    </row>
    <row r="117" spans="2:12" ht="15.75" customHeight="1">
      <c r="B117" s="11"/>
      <c r="C117" s="11"/>
      <c r="D117" s="11"/>
      <c r="E117" s="11"/>
      <c r="F117" s="11"/>
      <c r="G117" s="11"/>
      <c r="H117" s="11"/>
      <c r="I117" s="11"/>
      <c r="J117" s="11"/>
      <c r="K117" s="11"/>
      <c r="L117" s="11"/>
    </row>
    <row r="118" spans="2:12" ht="15.75" customHeight="1">
      <c r="B118" s="11"/>
      <c r="C118" s="11"/>
      <c r="D118" s="11"/>
      <c r="E118" s="11"/>
      <c r="F118" s="11"/>
      <c r="G118" s="11"/>
      <c r="H118" s="11"/>
      <c r="I118" s="11"/>
      <c r="J118" s="11"/>
      <c r="K118" s="11"/>
      <c r="L118" s="11"/>
    </row>
    <row r="119" spans="2:12" ht="15.75" customHeight="1">
      <c r="B119" s="11"/>
      <c r="C119" s="11"/>
      <c r="D119" s="11"/>
      <c r="E119" s="11"/>
      <c r="F119" s="11"/>
      <c r="G119" s="11"/>
      <c r="H119" s="11"/>
      <c r="I119" s="11"/>
      <c r="J119" s="11"/>
      <c r="K119" s="11"/>
      <c r="L119" s="11"/>
    </row>
    <row r="120" spans="2:12" ht="15.75" customHeight="1">
      <c r="B120" s="11"/>
      <c r="C120" s="11"/>
      <c r="D120" s="11"/>
      <c r="E120" s="11"/>
      <c r="F120" s="11"/>
      <c r="G120" s="11"/>
      <c r="H120" s="11"/>
      <c r="I120" s="11"/>
      <c r="J120" s="11"/>
      <c r="K120" s="11"/>
      <c r="L120" s="11"/>
    </row>
    <row r="121" spans="2:12" ht="15.75" customHeight="1">
      <c r="B121" s="11"/>
      <c r="C121" s="11"/>
      <c r="D121" s="11"/>
      <c r="E121" s="11"/>
      <c r="F121" s="11"/>
      <c r="G121" s="11"/>
      <c r="H121" s="11"/>
      <c r="I121" s="11"/>
      <c r="J121" s="11"/>
      <c r="K121" s="11"/>
      <c r="L121" s="11"/>
    </row>
    <row r="122" spans="2:12" ht="15.75" customHeight="1">
      <c r="B122" s="11"/>
      <c r="C122" s="11"/>
      <c r="D122" s="11"/>
      <c r="E122" s="11"/>
      <c r="F122" s="11"/>
      <c r="G122" s="11"/>
      <c r="H122" s="11"/>
      <c r="I122" s="11"/>
      <c r="J122" s="11"/>
      <c r="K122" s="11"/>
      <c r="L122" s="11"/>
    </row>
    <row r="123" spans="2:12" ht="15.75" customHeight="1">
      <c r="B123" s="11"/>
      <c r="C123" s="11"/>
      <c r="D123" s="11"/>
      <c r="E123" s="11"/>
      <c r="F123" s="11"/>
      <c r="G123" s="11"/>
      <c r="H123" s="11"/>
      <c r="I123" s="11"/>
      <c r="J123" s="11"/>
      <c r="K123" s="11"/>
      <c r="L123" s="11"/>
    </row>
    <row r="124" spans="2:12" ht="15.75" customHeight="1">
      <c r="B124" s="11"/>
      <c r="C124" s="11"/>
      <c r="D124" s="11"/>
      <c r="E124" s="11"/>
      <c r="F124" s="11"/>
      <c r="G124" s="11"/>
      <c r="H124" s="11"/>
      <c r="I124" s="11"/>
      <c r="J124" s="11"/>
      <c r="K124" s="11"/>
      <c r="L124" s="11"/>
    </row>
    <row r="125" spans="2:12" ht="15.75" customHeight="1">
      <c r="B125" s="11"/>
      <c r="C125" s="11"/>
      <c r="D125" s="11"/>
      <c r="E125" s="11"/>
      <c r="F125" s="11"/>
      <c r="G125" s="11"/>
      <c r="H125" s="11"/>
      <c r="I125" s="11"/>
      <c r="J125" s="11"/>
      <c r="K125" s="11"/>
      <c r="L125" s="11"/>
    </row>
    <row r="126" spans="2:12" ht="15.75" customHeight="1">
      <c r="B126" s="11"/>
      <c r="C126" s="11"/>
      <c r="D126" s="11"/>
      <c r="E126" s="11"/>
      <c r="F126" s="11"/>
      <c r="G126" s="11"/>
      <c r="H126" s="11"/>
      <c r="I126" s="11"/>
      <c r="J126" s="11"/>
      <c r="K126" s="11"/>
      <c r="L126" s="11"/>
    </row>
    <row r="127" spans="2:12" ht="15.75" customHeight="1">
      <c r="B127" s="11"/>
      <c r="C127" s="11"/>
      <c r="D127" s="11"/>
      <c r="E127" s="11"/>
      <c r="F127" s="11"/>
      <c r="G127" s="11"/>
      <c r="H127" s="11"/>
      <c r="I127" s="11"/>
      <c r="J127" s="11"/>
      <c r="K127" s="11"/>
      <c r="L127" s="11"/>
    </row>
    <row r="128" spans="2:12" ht="15.75" customHeight="1">
      <c r="B128" s="11"/>
      <c r="C128" s="11"/>
      <c r="D128" s="11"/>
      <c r="E128" s="11"/>
      <c r="F128" s="11"/>
      <c r="G128" s="11"/>
      <c r="H128" s="11"/>
      <c r="I128" s="11"/>
      <c r="J128" s="11"/>
      <c r="K128" s="11"/>
      <c r="L128" s="11"/>
    </row>
    <row r="129" spans="2:12" ht="15.75" customHeight="1">
      <c r="B129" s="11"/>
      <c r="C129" s="11"/>
      <c r="D129" s="11"/>
      <c r="E129" s="11"/>
      <c r="F129" s="11"/>
      <c r="G129" s="11"/>
      <c r="H129" s="11"/>
      <c r="I129" s="11"/>
      <c r="J129" s="11"/>
      <c r="K129" s="11"/>
      <c r="L129" s="11"/>
    </row>
    <row r="130" spans="2:12" ht="15.75" customHeight="1">
      <c r="B130" s="11"/>
      <c r="C130" s="11"/>
      <c r="D130" s="11"/>
      <c r="E130" s="11"/>
      <c r="F130" s="11"/>
      <c r="G130" s="11"/>
      <c r="H130" s="11"/>
      <c r="I130" s="11"/>
      <c r="J130" s="11"/>
      <c r="K130" s="11"/>
      <c r="L130" s="11"/>
    </row>
    <row r="131" spans="2:12" ht="15.75" customHeight="1">
      <c r="B131" s="11"/>
      <c r="C131" s="11"/>
      <c r="D131" s="11"/>
      <c r="E131" s="11"/>
      <c r="F131" s="11"/>
      <c r="G131" s="11"/>
      <c r="H131" s="11"/>
      <c r="I131" s="11"/>
      <c r="J131" s="11"/>
      <c r="K131" s="11"/>
      <c r="L131" s="11"/>
    </row>
    <row r="132" spans="2:12" ht="15.75" customHeight="1">
      <c r="B132" s="11"/>
      <c r="C132" s="11"/>
      <c r="D132" s="11"/>
      <c r="E132" s="11"/>
      <c r="F132" s="11"/>
      <c r="G132" s="11"/>
      <c r="H132" s="11"/>
      <c r="I132" s="11"/>
      <c r="J132" s="11"/>
      <c r="K132" s="11"/>
      <c r="L132" s="11"/>
    </row>
    <row r="133" spans="2:12" ht="15.75" customHeight="1">
      <c r="B133" s="11"/>
      <c r="C133" s="11"/>
      <c r="D133" s="11"/>
      <c r="E133" s="11"/>
      <c r="F133" s="11"/>
      <c r="G133" s="11"/>
      <c r="H133" s="11"/>
      <c r="I133" s="11"/>
      <c r="J133" s="11"/>
      <c r="K133" s="11"/>
      <c r="L133" s="11"/>
    </row>
    <row r="134" spans="2:12" ht="15.75" customHeight="1">
      <c r="B134" s="11"/>
      <c r="C134" s="11"/>
      <c r="D134" s="11"/>
      <c r="E134" s="11"/>
      <c r="F134" s="11"/>
      <c r="G134" s="11"/>
      <c r="H134" s="11"/>
      <c r="I134" s="11"/>
      <c r="J134" s="11"/>
      <c r="K134" s="11"/>
      <c r="L134" s="11"/>
    </row>
    <row r="135" spans="2:12" ht="15.75" customHeight="1">
      <c r="B135" s="11"/>
      <c r="C135" s="11"/>
      <c r="D135" s="11"/>
      <c r="E135" s="11"/>
      <c r="F135" s="11"/>
      <c r="G135" s="11"/>
      <c r="H135" s="11"/>
      <c r="I135" s="11"/>
      <c r="J135" s="11"/>
      <c r="K135" s="11"/>
      <c r="L135" s="11"/>
    </row>
    <row r="136" spans="2:12" ht="15.75" customHeight="1">
      <c r="B136" s="11"/>
      <c r="C136" s="11"/>
      <c r="D136" s="11"/>
      <c r="E136" s="11"/>
      <c r="F136" s="11"/>
      <c r="G136" s="11"/>
      <c r="H136" s="11"/>
      <c r="I136" s="11"/>
      <c r="J136" s="11"/>
      <c r="K136" s="11"/>
      <c r="L136" s="11"/>
    </row>
    <row r="137" spans="2:12" ht="15.75" customHeight="1">
      <c r="B137" s="11"/>
      <c r="C137" s="11"/>
      <c r="D137" s="11"/>
      <c r="E137" s="11"/>
      <c r="F137" s="11"/>
      <c r="G137" s="11"/>
      <c r="H137" s="11"/>
      <c r="I137" s="11"/>
      <c r="J137" s="11"/>
      <c r="K137" s="11"/>
      <c r="L137" s="11"/>
    </row>
    <row r="138" spans="2:12" ht="15.75" customHeight="1">
      <c r="B138" s="11"/>
      <c r="C138" s="11"/>
      <c r="D138" s="11"/>
      <c r="E138" s="11"/>
      <c r="F138" s="11"/>
      <c r="G138" s="11"/>
      <c r="H138" s="11"/>
      <c r="I138" s="11"/>
      <c r="J138" s="11"/>
      <c r="K138" s="11"/>
      <c r="L138" s="11"/>
    </row>
    <row r="139" spans="2:12" ht="15.75" customHeight="1">
      <c r="B139" s="11"/>
      <c r="C139" s="11"/>
      <c r="D139" s="11"/>
      <c r="E139" s="11"/>
      <c r="F139" s="11"/>
      <c r="G139" s="11"/>
      <c r="H139" s="11"/>
      <c r="I139" s="11"/>
      <c r="J139" s="11"/>
      <c r="K139" s="11"/>
      <c r="L139" s="11"/>
    </row>
    <row r="140" spans="2:12" ht="15.75" customHeight="1">
      <c r="B140" s="11"/>
      <c r="C140" s="11"/>
      <c r="D140" s="11"/>
      <c r="E140" s="11"/>
      <c r="F140" s="11"/>
      <c r="G140" s="11"/>
      <c r="H140" s="11"/>
      <c r="I140" s="11"/>
      <c r="J140" s="11"/>
      <c r="K140" s="11"/>
      <c r="L140" s="11"/>
    </row>
    <row r="141" spans="2:12" ht="15.75" customHeight="1">
      <c r="B141" s="11"/>
      <c r="C141" s="11"/>
      <c r="D141" s="11"/>
      <c r="E141" s="11"/>
      <c r="F141" s="11"/>
      <c r="G141" s="11"/>
      <c r="H141" s="11"/>
      <c r="I141" s="11"/>
      <c r="J141" s="11"/>
      <c r="K141" s="11"/>
      <c r="L141" s="11"/>
    </row>
    <row r="142" spans="2:12" ht="15.75" customHeight="1">
      <c r="B142" s="11"/>
      <c r="C142" s="11"/>
      <c r="D142" s="11"/>
      <c r="E142" s="11"/>
      <c r="F142" s="11"/>
      <c r="G142" s="11"/>
      <c r="H142" s="11"/>
      <c r="I142" s="11"/>
      <c r="J142" s="11"/>
      <c r="K142" s="11"/>
      <c r="L142" s="11"/>
    </row>
    <row r="143" spans="2:12" ht="15.75" customHeight="1">
      <c r="B143" s="11"/>
      <c r="C143" s="11"/>
      <c r="D143" s="11"/>
      <c r="E143" s="11"/>
      <c r="F143" s="11"/>
      <c r="G143" s="11"/>
      <c r="H143" s="11"/>
      <c r="I143" s="11"/>
      <c r="J143" s="11"/>
      <c r="K143" s="11"/>
      <c r="L143" s="11"/>
    </row>
    <row r="144" spans="2:12" ht="15.75" customHeight="1">
      <c r="B144" s="11"/>
      <c r="C144" s="11"/>
      <c r="D144" s="11"/>
      <c r="E144" s="11"/>
      <c r="F144" s="11"/>
      <c r="G144" s="11"/>
      <c r="H144" s="11"/>
      <c r="I144" s="11"/>
      <c r="J144" s="11"/>
      <c r="K144" s="11"/>
      <c r="L144" s="11"/>
    </row>
    <row r="145" spans="2:12" ht="15.75" customHeight="1">
      <c r="B145" s="11"/>
      <c r="C145" s="11"/>
      <c r="D145" s="11"/>
      <c r="E145" s="11"/>
      <c r="F145" s="11"/>
      <c r="G145" s="11"/>
      <c r="H145" s="11"/>
      <c r="I145" s="11"/>
      <c r="J145" s="11"/>
      <c r="K145" s="11"/>
      <c r="L145" s="11"/>
    </row>
    <row r="146" spans="2:12" ht="15.75" customHeight="1">
      <c r="B146" s="11"/>
      <c r="C146" s="11"/>
      <c r="D146" s="11"/>
      <c r="E146" s="11"/>
      <c r="F146" s="11"/>
      <c r="G146" s="11"/>
      <c r="H146" s="11"/>
      <c r="I146" s="11"/>
      <c r="J146" s="11"/>
      <c r="K146" s="11"/>
      <c r="L146" s="11"/>
    </row>
    <row r="147" spans="2:12" ht="15.75" customHeight="1">
      <c r="B147" s="11"/>
      <c r="C147" s="11"/>
      <c r="D147" s="11"/>
      <c r="E147" s="11"/>
      <c r="F147" s="11"/>
      <c r="G147" s="11"/>
      <c r="H147" s="11"/>
      <c r="I147" s="11"/>
      <c r="J147" s="11"/>
      <c r="K147" s="11"/>
      <c r="L147" s="11"/>
    </row>
    <row r="148" spans="2:12" ht="15.75" customHeight="1">
      <c r="B148" s="11"/>
      <c r="C148" s="11"/>
      <c r="D148" s="11"/>
      <c r="E148" s="11"/>
      <c r="F148" s="11"/>
      <c r="G148" s="11"/>
      <c r="H148" s="11"/>
      <c r="I148" s="11"/>
      <c r="J148" s="11"/>
      <c r="K148" s="11"/>
      <c r="L148" s="11"/>
    </row>
    <row r="149" spans="2:12" ht="15.75" customHeight="1">
      <c r="B149" s="11"/>
      <c r="C149" s="11"/>
      <c r="D149" s="11"/>
      <c r="E149" s="11"/>
      <c r="F149" s="11"/>
      <c r="G149" s="11"/>
      <c r="H149" s="11"/>
      <c r="I149" s="11"/>
      <c r="J149" s="11"/>
      <c r="K149" s="11"/>
      <c r="L149" s="11"/>
    </row>
    <row r="150" spans="2:12" ht="15.75" customHeight="1">
      <c r="B150" s="11"/>
      <c r="C150" s="11"/>
      <c r="D150" s="11"/>
      <c r="E150" s="11"/>
      <c r="F150" s="11"/>
      <c r="G150" s="11"/>
      <c r="H150" s="11"/>
      <c r="I150" s="11"/>
      <c r="J150" s="11"/>
      <c r="K150" s="11"/>
      <c r="L150" s="11"/>
    </row>
    <row r="151" spans="2:12" ht="15.75" customHeight="1">
      <c r="B151" s="11"/>
      <c r="C151" s="11"/>
      <c r="D151" s="11"/>
      <c r="E151" s="11"/>
      <c r="F151" s="11"/>
      <c r="G151" s="11"/>
      <c r="H151" s="11"/>
      <c r="I151" s="11"/>
      <c r="J151" s="11"/>
      <c r="K151" s="11"/>
      <c r="L151" s="11"/>
    </row>
    <row r="152" spans="2:12" ht="15.75" customHeight="1">
      <c r="B152" s="11"/>
      <c r="C152" s="11"/>
      <c r="D152" s="11"/>
      <c r="E152" s="11"/>
      <c r="F152" s="11"/>
      <c r="G152" s="11"/>
      <c r="H152" s="11"/>
      <c r="I152" s="11"/>
      <c r="J152" s="11"/>
      <c r="K152" s="11"/>
      <c r="L152" s="11"/>
    </row>
    <row r="153" spans="2:12" ht="15.75" customHeight="1">
      <c r="B153" s="11"/>
      <c r="C153" s="11"/>
      <c r="D153" s="11"/>
      <c r="E153" s="11"/>
      <c r="F153" s="11"/>
      <c r="G153" s="11"/>
      <c r="H153" s="11"/>
      <c r="I153" s="11"/>
      <c r="J153" s="11"/>
      <c r="K153" s="11"/>
      <c r="L153" s="11"/>
    </row>
    <row r="154" spans="2:12" ht="15.75" customHeight="1">
      <c r="B154" s="11"/>
      <c r="C154" s="11"/>
      <c r="D154" s="11"/>
      <c r="E154" s="11"/>
      <c r="F154" s="11"/>
      <c r="G154" s="11"/>
      <c r="H154" s="11"/>
      <c r="I154" s="11"/>
      <c r="J154" s="11"/>
      <c r="K154" s="11"/>
      <c r="L154" s="11"/>
    </row>
    <row r="155" spans="2:12" ht="15.75" customHeight="1">
      <c r="B155" s="11"/>
      <c r="C155" s="11"/>
      <c r="D155" s="11"/>
      <c r="E155" s="11"/>
      <c r="F155" s="11"/>
      <c r="G155" s="11"/>
      <c r="H155" s="11"/>
      <c r="I155" s="11"/>
      <c r="J155" s="11"/>
      <c r="K155" s="11"/>
      <c r="L155" s="11"/>
    </row>
    <row r="156" spans="2:12" ht="15.75" customHeight="1">
      <c r="B156" s="11"/>
      <c r="C156" s="11"/>
      <c r="D156" s="11"/>
      <c r="E156" s="11"/>
      <c r="F156" s="11"/>
      <c r="G156" s="11"/>
      <c r="H156" s="11"/>
      <c r="I156" s="11"/>
      <c r="J156" s="11"/>
      <c r="K156" s="11"/>
      <c r="L156" s="11"/>
    </row>
    <row r="157" spans="2:12" ht="15.75" customHeight="1">
      <c r="B157" s="11"/>
      <c r="C157" s="11"/>
      <c r="D157" s="11"/>
      <c r="E157" s="11"/>
      <c r="F157" s="11"/>
      <c r="G157" s="11"/>
      <c r="H157" s="11"/>
      <c r="I157" s="11"/>
      <c r="J157" s="11"/>
      <c r="K157" s="11"/>
      <c r="L157" s="11"/>
    </row>
    <row r="158" spans="2:12" ht="15.75" customHeight="1">
      <c r="B158" s="11"/>
      <c r="C158" s="11"/>
      <c r="D158" s="11"/>
      <c r="E158" s="11"/>
      <c r="F158" s="11"/>
      <c r="G158" s="11"/>
      <c r="H158" s="11"/>
      <c r="I158" s="11"/>
      <c r="J158" s="11"/>
      <c r="K158" s="11"/>
      <c r="L158" s="11"/>
    </row>
    <row r="159" spans="2:12" ht="15.75" customHeight="1">
      <c r="B159" s="11"/>
      <c r="C159" s="11"/>
      <c r="D159" s="11"/>
      <c r="E159" s="11"/>
      <c r="F159" s="11"/>
      <c r="G159" s="11"/>
      <c r="H159" s="11"/>
      <c r="I159" s="11"/>
      <c r="J159" s="11"/>
      <c r="K159" s="11"/>
      <c r="L159" s="11"/>
    </row>
    <row r="160" spans="2:12" ht="15.75" customHeight="1">
      <c r="B160" s="11"/>
      <c r="C160" s="11"/>
      <c r="D160" s="11"/>
      <c r="E160" s="11"/>
      <c r="F160" s="11"/>
      <c r="G160" s="11"/>
      <c r="H160" s="11"/>
      <c r="I160" s="11"/>
      <c r="J160" s="11"/>
      <c r="K160" s="11"/>
      <c r="L160" s="11"/>
    </row>
    <row r="161" spans="2:12" ht="15.75" customHeight="1">
      <c r="B161" s="11"/>
      <c r="C161" s="11"/>
      <c r="D161" s="11"/>
      <c r="E161" s="11"/>
      <c r="F161" s="11"/>
      <c r="G161" s="11"/>
      <c r="H161" s="11"/>
      <c r="I161" s="11"/>
      <c r="J161" s="11"/>
      <c r="K161" s="11"/>
      <c r="L161" s="11"/>
    </row>
    <row r="162" spans="2:12" ht="15.75" customHeight="1">
      <c r="B162" s="11"/>
      <c r="C162" s="11"/>
      <c r="D162" s="11"/>
      <c r="E162" s="11"/>
      <c r="F162" s="11"/>
      <c r="G162" s="11"/>
      <c r="H162" s="11"/>
      <c r="I162" s="11"/>
      <c r="J162" s="11"/>
      <c r="K162" s="11"/>
      <c r="L162" s="11"/>
    </row>
    <row r="163" spans="2:12" ht="15.75" customHeight="1">
      <c r="B163" s="11"/>
      <c r="C163" s="11"/>
      <c r="D163" s="11"/>
      <c r="E163" s="11"/>
      <c r="F163" s="11"/>
      <c r="G163" s="11"/>
      <c r="H163" s="11"/>
      <c r="I163" s="11"/>
      <c r="J163" s="11"/>
      <c r="K163" s="11"/>
      <c r="L163" s="11"/>
    </row>
    <row r="164" spans="2:12" ht="15.75" customHeight="1">
      <c r="B164" s="11"/>
      <c r="C164" s="11"/>
      <c r="D164" s="11"/>
      <c r="E164" s="11"/>
      <c r="F164" s="11"/>
      <c r="G164" s="11"/>
      <c r="H164" s="11"/>
      <c r="I164" s="11"/>
      <c r="J164" s="11"/>
      <c r="K164" s="11"/>
      <c r="L164" s="11"/>
    </row>
    <row r="165" spans="2:12" ht="15.75" customHeight="1">
      <c r="B165" s="11"/>
      <c r="C165" s="11"/>
      <c r="D165" s="11"/>
      <c r="E165" s="11"/>
      <c r="F165" s="11"/>
      <c r="G165" s="11"/>
      <c r="H165" s="11"/>
      <c r="I165" s="11"/>
      <c r="J165" s="11"/>
      <c r="K165" s="11"/>
      <c r="L165" s="11"/>
    </row>
    <row r="166" spans="2:12" ht="15.75" customHeight="1">
      <c r="B166" s="11"/>
      <c r="C166" s="11"/>
      <c r="D166" s="11"/>
      <c r="E166" s="11"/>
      <c r="F166" s="11"/>
      <c r="G166" s="11"/>
      <c r="H166" s="11"/>
      <c r="I166" s="11"/>
      <c r="J166" s="11"/>
      <c r="K166" s="11"/>
      <c r="L166" s="11"/>
    </row>
    <row r="167" spans="2:12" ht="15.75" customHeight="1">
      <c r="B167" s="11"/>
      <c r="C167" s="11"/>
      <c r="D167" s="11"/>
      <c r="E167" s="11"/>
      <c r="F167" s="11"/>
      <c r="G167" s="11"/>
      <c r="H167" s="11"/>
      <c r="I167" s="11"/>
      <c r="J167" s="11"/>
      <c r="K167" s="11"/>
      <c r="L167" s="11"/>
    </row>
    <row r="168" spans="2:12" ht="15.75" customHeight="1">
      <c r="B168" s="11"/>
      <c r="C168" s="11"/>
      <c r="D168" s="11"/>
      <c r="E168" s="11"/>
      <c r="F168" s="11"/>
      <c r="G168" s="11"/>
      <c r="H168" s="11"/>
      <c r="I168" s="11"/>
      <c r="J168" s="11"/>
      <c r="K168" s="11"/>
      <c r="L168" s="11"/>
    </row>
    <row r="169" spans="2:12" ht="15.75" customHeight="1">
      <c r="B169" s="11"/>
      <c r="C169" s="11"/>
      <c r="D169" s="11"/>
      <c r="E169" s="11"/>
      <c r="F169" s="11"/>
      <c r="G169" s="11"/>
      <c r="H169" s="11"/>
      <c r="I169" s="11"/>
      <c r="J169" s="11"/>
      <c r="K169" s="11"/>
      <c r="L169" s="11"/>
    </row>
    <row r="170" spans="2:12" ht="15.75" customHeight="1">
      <c r="B170" s="11"/>
      <c r="C170" s="11"/>
      <c r="D170" s="11"/>
      <c r="E170" s="11"/>
      <c r="F170" s="11"/>
      <c r="G170" s="11"/>
      <c r="H170" s="11"/>
      <c r="I170" s="11"/>
      <c r="J170" s="11"/>
      <c r="K170" s="11"/>
      <c r="L170" s="11"/>
    </row>
    <row r="171" spans="2:12" ht="15.75" customHeight="1">
      <c r="B171" s="11"/>
      <c r="C171" s="11"/>
      <c r="D171" s="11"/>
      <c r="E171" s="11"/>
      <c r="F171" s="11"/>
      <c r="G171" s="11"/>
      <c r="H171" s="11"/>
      <c r="I171" s="11"/>
      <c r="J171" s="11"/>
      <c r="K171" s="11"/>
      <c r="L171" s="11"/>
    </row>
    <row r="172" spans="2:12" ht="15.75" customHeight="1">
      <c r="B172" s="11"/>
      <c r="C172" s="11"/>
      <c r="D172" s="11"/>
      <c r="E172" s="11"/>
      <c r="F172" s="11"/>
      <c r="G172" s="11"/>
      <c r="H172" s="11"/>
      <c r="I172" s="11"/>
      <c r="J172" s="11"/>
      <c r="K172" s="11"/>
      <c r="L172" s="11"/>
    </row>
    <row r="173" spans="2:12" ht="15.75" customHeight="1">
      <c r="B173" s="11"/>
      <c r="C173" s="11"/>
      <c r="D173" s="11"/>
      <c r="E173" s="11"/>
      <c r="F173" s="11"/>
      <c r="G173" s="11"/>
      <c r="H173" s="11"/>
      <c r="I173" s="11"/>
      <c r="J173" s="11"/>
      <c r="K173" s="11"/>
      <c r="L173" s="11"/>
    </row>
    <row r="174" spans="2:12" ht="15.75" customHeight="1">
      <c r="B174" s="11"/>
      <c r="C174" s="11"/>
      <c r="D174" s="11"/>
      <c r="E174" s="11"/>
      <c r="F174" s="11"/>
      <c r="G174" s="11"/>
      <c r="H174" s="11"/>
      <c r="I174" s="11"/>
      <c r="J174" s="11"/>
      <c r="K174" s="11"/>
      <c r="L174" s="11"/>
    </row>
    <row r="175" spans="2:12" ht="15.75" customHeight="1">
      <c r="B175" s="11"/>
      <c r="C175" s="11"/>
      <c r="D175" s="11"/>
      <c r="E175" s="11"/>
      <c r="F175" s="11"/>
      <c r="G175" s="11"/>
      <c r="H175" s="11"/>
      <c r="I175" s="11"/>
      <c r="J175" s="11"/>
      <c r="K175" s="11"/>
      <c r="L175" s="11"/>
    </row>
    <row r="176" spans="2:12" ht="15.75" customHeight="1">
      <c r="B176" s="11"/>
      <c r="C176" s="11"/>
      <c r="D176" s="11"/>
      <c r="E176" s="11"/>
      <c r="F176" s="11"/>
      <c r="G176" s="11"/>
      <c r="H176" s="11"/>
      <c r="I176" s="11"/>
      <c r="J176" s="11"/>
      <c r="K176" s="11"/>
      <c r="L176" s="11"/>
    </row>
    <row r="177" spans="2:12" ht="15.75" customHeight="1">
      <c r="B177" s="11"/>
      <c r="C177" s="11"/>
      <c r="D177" s="11"/>
      <c r="E177" s="11"/>
      <c r="F177" s="11"/>
      <c r="G177" s="11"/>
      <c r="H177" s="11"/>
      <c r="I177" s="11"/>
      <c r="J177" s="11"/>
      <c r="K177" s="11"/>
      <c r="L177" s="11"/>
    </row>
    <row r="178" spans="2:12" ht="15.75" customHeight="1">
      <c r="B178" s="11"/>
      <c r="C178" s="11"/>
      <c r="D178" s="11"/>
      <c r="E178" s="11"/>
      <c r="F178" s="11"/>
      <c r="G178" s="11"/>
      <c r="H178" s="11"/>
      <c r="I178" s="11"/>
      <c r="J178" s="11"/>
      <c r="K178" s="11"/>
      <c r="L178" s="11"/>
    </row>
    <row r="179" spans="2:12" ht="15.75" customHeight="1">
      <c r="B179" s="11"/>
      <c r="C179" s="11"/>
      <c r="D179" s="11"/>
      <c r="E179" s="11"/>
      <c r="F179" s="11"/>
      <c r="G179" s="11"/>
      <c r="H179" s="11"/>
      <c r="I179" s="11"/>
      <c r="J179" s="11"/>
      <c r="K179" s="11"/>
      <c r="L179" s="11"/>
    </row>
    <row r="180" spans="2:12" ht="15.75" customHeight="1">
      <c r="B180" s="11"/>
      <c r="C180" s="11"/>
      <c r="D180" s="11"/>
      <c r="E180" s="11"/>
      <c r="F180" s="11"/>
      <c r="G180" s="11"/>
      <c r="H180" s="11"/>
      <c r="I180" s="11"/>
      <c r="J180" s="11"/>
      <c r="K180" s="11"/>
      <c r="L180" s="11"/>
    </row>
    <row r="181" spans="2:12" ht="15.75" customHeight="1">
      <c r="B181" s="11"/>
      <c r="C181" s="11"/>
      <c r="D181" s="11"/>
      <c r="E181" s="11"/>
      <c r="F181" s="11"/>
      <c r="G181" s="11"/>
      <c r="H181" s="11"/>
      <c r="I181" s="11"/>
      <c r="J181" s="11"/>
      <c r="K181" s="11"/>
      <c r="L181" s="11"/>
    </row>
    <row r="182" spans="2:12" ht="15.75" customHeight="1">
      <c r="B182" s="11"/>
      <c r="C182" s="11"/>
      <c r="D182" s="11"/>
      <c r="E182" s="11"/>
      <c r="F182" s="11"/>
      <c r="G182" s="11"/>
      <c r="H182" s="11"/>
      <c r="I182" s="11"/>
      <c r="J182" s="11"/>
      <c r="K182" s="11"/>
      <c r="L182" s="11"/>
    </row>
    <row r="183" spans="2:12" ht="15.75" customHeight="1">
      <c r="B183" s="11"/>
      <c r="C183" s="11"/>
      <c r="D183" s="11"/>
      <c r="E183" s="11"/>
      <c r="F183" s="11"/>
      <c r="G183" s="11"/>
      <c r="H183" s="11"/>
      <c r="I183" s="11"/>
      <c r="J183" s="11"/>
      <c r="K183" s="11"/>
      <c r="L183" s="11"/>
    </row>
    <row r="184" spans="2:12" ht="15.75" customHeight="1">
      <c r="B184" s="11"/>
      <c r="C184" s="11"/>
      <c r="D184" s="11"/>
      <c r="E184" s="11"/>
      <c r="F184" s="11"/>
      <c r="G184" s="11"/>
      <c r="H184" s="11"/>
      <c r="I184" s="11"/>
      <c r="J184" s="11"/>
      <c r="K184" s="11"/>
      <c r="L184" s="11"/>
    </row>
    <row r="185" spans="2:12" ht="15.75" customHeight="1">
      <c r="B185" s="11"/>
      <c r="C185" s="11"/>
      <c r="D185" s="11"/>
      <c r="E185" s="11"/>
      <c r="F185" s="11"/>
      <c r="G185" s="11"/>
      <c r="H185" s="11"/>
      <c r="I185" s="11"/>
      <c r="J185" s="11"/>
      <c r="K185" s="11"/>
      <c r="L185" s="11"/>
    </row>
    <row r="186" spans="2:12" ht="15.75" customHeight="1">
      <c r="B186" s="11"/>
      <c r="C186" s="11"/>
      <c r="D186" s="11"/>
      <c r="E186" s="11"/>
      <c r="F186" s="11"/>
      <c r="G186" s="11"/>
      <c r="H186" s="11"/>
      <c r="I186" s="11"/>
      <c r="J186" s="11"/>
      <c r="K186" s="11"/>
      <c r="L186" s="11"/>
    </row>
    <row r="187" spans="2:12" ht="15.75" customHeight="1">
      <c r="B187" s="11"/>
      <c r="C187" s="11"/>
      <c r="D187" s="11"/>
      <c r="E187" s="11"/>
      <c r="F187" s="11"/>
      <c r="G187" s="11"/>
      <c r="H187" s="11"/>
      <c r="I187" s="11"/>
      <c r="J187" s="11"/>
      <c r="K187" s="11"/>
      <c r="L187" s="11"/>
    </row>
    <row r="188" spans="2:12" ht="15.75" customHeight="1">
      <c r="B188" s="11"/>
      <c r="C188" s="11"/>
      <c r="D188" s="11"/>
      <c r="E188" s="11"/>
      <c r="F188" s="11"/>
      <c r="G188" s="11"/>
      <c r="H188" s="11"/>
      <c r="I188" s="11"/>
      <c r="J188" s="11"/>
      <c r="K188" s="11"/>
      <c r="L188" s="11"/>
    </row>
    <row r="189" spans="2:12" ht="15.75" customHeight="1">
      <c r="B189" s="11"/>
      <c r="C189" s="11"/>
      <c r="D189" s="11"/>
      <c r="E189" s="11"/>
      <c r="F189" s="11"/>
      <c r="G189" s="11"/>
      <c r="H189" s="11"/>
      <c r="I189" s="11"/>
      <c r="J189" s="11"/>
      <c r="K189" s="11"/>
      <c r="L189" s="11"/>
    </row>
    <row r="190" spans="2:12" ht="15.75" customHeight="1">
      <c r="B190" s="11"/>
      <c r="C190" s="11"/>
      <c r="D190" s="11"/>
      <c r="E190" s="11"/>
      <c r="F190" s="11"/>
      <c r="G190" s="11"/>
      <c r="H190" s="11"/>
      <c r="I190" s="11"/>
      <c r="J190" s="11"/>
      <c r="K190" s="11"/>
      <c r="L190" s="11"/>
    </row>
    <row r="191" spans="2:12" ht="15.75" customHeight="1">
      <c r="B191" s="11"/>
      <c r="C191" s="11"/>
      <c r="D191" s="11"/>
      <c r="E191" s="11"/>
      <c r="F191" s="11"/>
      <c r="G191" s="11"/>
      <c r="H191" s="11"/>
      <c r="I191" s="11"/>
      <c r="J191" s="11"/>
      <c r="K191" s="11"/>
      <c r="L191" s="11"/>
    </row>
    <row r="192" spans="2:12" ht="15.75" customHeight="1">
      <c r="B192" s="11"/>
      <c r="C192" s="11"/>
      <c r="D192" s="11"/>
      <c r="E192" s="11"/>
      <c r="F192" s="11"/>
      <c r="G192" s="11"/>
      <c r="H192" s="11"/>
      <c r="I192" s="11"/>
      <c r="J192" s="11"/>
      <c r="K192" s="11"/>
      <c r="L192" s="11"/>
    </row>
    <row r="193" spans="2:12" ht="15.75" customHeight="1">
      <c r="B193" s="11"/>
      <c r="C193" s="11"/>
      <c r="D193" s="11"/>
      <c r="E193" s="11"/>
      <c r="F193" s="11"/>
      <c r="G193" s="11"/>
      <c r="H193" s="11"/>
      <c r="I193" s="11"/>
      <c r="J193" s="11"/>
      <c r="K193" s="11"/>
      <c r="L193" s="11"/>
    </row>
    <row r="194" spans="2:12" ht="15.75" customHeight="1">
      <c r="B194" s="11"/>
      <c r="C194" s="11"/>
      <c r="D194" s="11"/>
      <c r="E194" s="11"/>
      <c r="F194" s="11"/>
      <c r="G194" s="11"/>
      <c r="H194" s="11"/>
      <c r="I194" s="11"/>
      <c r="J194" s="11"/>
      <c r="K194" s="11"/>
      <c r="L194" s="11"/>
    </row>
    <row r="195" spans="2:12" ht="15.75" customHeight="1">
      <c r="B195" s="11"/>
      <c r="C195" s="11"/>
      <c r="D195" s="11"/>
      <c r="E195" s="11"/>
      <c r="F195" s="11"/>
      <c r="G195" s="11"/>
      <c r="H195" s="11"/>
      <c r="I195" s="11"/>
      <c r="J195" s="11"/>
      <c r="K195" s="11"/>
      <c r="L195" s="11"/>
    </row>
    <row r="196" spans="2:12" ht="15.75" customHeight="1">
      <c r="B196" s="11"/>
      <c r="C196" s="11"/>
      <c r="D196" s="11"/>
      <c r="E196" s="11"/>
      <c r="F196" s="11"/>
      <c r="G196" s="11"/>
      <c r="H196" s="11"/>
      <c r="I196" s="11"/>
      <c r="J196" s="11"/>
      <c r="K196" s="11"/>
      <c r="L196" s="11"/>
    </row>
    <row r="197" spans="2:12" ht="15.75" customHeight="1">
      <c r="B197" s="11"/>
      <c r="C197" s="11"/>
      <c r="D197" s="11"/>
      <c r="E197" s="11"/>
      <c r="F197" s="11"/>
      <c r="G197" s="11"/>
      <c r="H197" s="11"/>
      <c r="I197" s="11"/>
      <c r="J197" s="11"/>
      <c r="K197" s="11"/>
      <c r="L197" s="11"/>
    </row>
    <row r="198" spans="2:12" ht="15.75" customHeight="1">
      <c r="B198" s="11"/>
      <c r="C198" s="11"/>
      <c r="D198" s="11"/>
      <c r="E198" s="11"/>
      <c r="F198" s="11"/>
      <c r="G198" s="11"/>
      <c r="H198" s="11"/>
      <c r="I198" s="11"/>
      <c r="J198" s="11"/>
      <c r="K198" s="11"/>
      <c r="L198" s="11"/>
    </row>
    <row r="199" spans="2:12" ht="15.75" customHeight="1">
      <c r="B199" s="11"/>
      <c r="C199" s="11"/>
      <c r="D199" s="11"/>
      <c r="E199" s="11"/>
      <c r="F199" s="11"/>
      <c r="G199" s="11"/>
      <c r="H199" s="11"/>
      <c r="I199" s="11"/>
      <c r="J199" s="11"/>
      <c r="K199" s="11"/>
      <c r="L199" s="11"/>
    </row>
    <row r="200" spans="2:12" ht="15.75" customHeight="1">
      <c r="B200" s="11"/>
      <c r="C200" s="11"/>
      <c r="D200" s="11"/>
      <c r="E200" s="11"/>
      <c r="F200" s="11"/>
      <c r="G200" s="11"/>
      <c r="H200" s="11"/>
      <c r="I200" s="11"/>
      <c r="J200" s="11"/>
      <c r="K200" s="11"/>
      <c r="L200" s="11"/>
    </row>
    <row r="201" spans="2:12" ht="15.75" customHeight="1">
      <c r="B201" s="11"/>
      <c r="C201" s="11"/>
      <c r="D201" s="11"/>
      <c r="E201" s="11"/>
      <c r="F201" s="11"/>
      <c r="G201" s="11"/>
      <c r="H201" s="11"/>
      <c r="I201" s="11"/>
      <c r="J201" s="11"/>
      <c r="K201" s="11"/>
      <c r="L201" s="11"/>
    </row>
    <row r="202" spans="2:12" ht="15.75" customHeight="1">
      <c r="B202" s="11"/>
      <c r="C202" s="11"/>
      <c r="D202" s="11"/>
      <c r="E202" s="11"/>
      <c r="F202" s="11"/>
      <c r="G202" s="11"/>
      <c r="H202" s="11"/>
      <c r="I202" s="11"/>
      <c r="J202" s="11"/>
      <c r="K202" s="11"/>
      <c r="L202" s="11"/>
    </row>
    <row r="203" spans="2:12" ht="15.75" customHeight="1">
      <c r="B203" s="11"/>
      <c r="C203" s="11"/>
      <c r="D203" s="11"/>
      <c r="E203" s="11"/>
      <c r="F203" s="11"/>
      <c r="G203" s="11"/>
      <c r="H203" s="11"/>
      <c r="I203" s="11"/>
      <c r="J203" s="11"/>
      <c r="K203" s="11"/>
      <c r="L203" s="11"/>
    </row>
    <row r="204" spans="2:12" ht="15.75" customHeight="1">
      <c r="B204" s="11"/>
      <c r="C204" s="11"/>
      <c r="D204" s="11"/>
      <c r="E204" s="11"/>
      <c r="F204" s="11"/>
      <c r="G204" s="11"/>
      <c r="H204" s="11"/>
      <c r="I204" s="11"/>
      <c r="J204" s="11"/>
      <c r="K204" s="11"/>
      <c r="L204" s="11"/>
    </row>
    <row r="205" spans="2:12" ht="15.75" customHeight="1">
      <c r="B205" s="11"/>
      <c r="C205" s="11"/>
      <c r="D205" s="11"/>
      <c r="E205" s="11"/>
      <c r="F205" s="11"/>
      <c r="G205" s="11"/>
      <c r="H205" s="11"/>
      <c r="I205" s="11"/>
      <c r="J205" s="11"/>
      <c r="K205" s="11"/>
      <c r="L205" s="11"/>
    </row>
    <row r="206" spans="2:12" ht="15.75" customHeight="1">
      <c r="B206" s="11"/>
      <c r="C206" s="11"/>
      <c r="D206" s="11"/>
      <c r="E206" s="11"/>
      <c r="F206" s="11"/>
      <c r="G206" s="11"/>
      <c r="H206" s="11"/>
      <c r="I206" s="11"/>
      <c r="J206" s="11"/>
      <c r="K206" s="11"/>
      <c r="L206" s="11"/>
    </row>
    <row r="207" spans="2:12" ht="15.75" customHeight="1">
      <c r="B207" s="11"/>
      <c r="C207" s="11"/>
      <c r="D207" s="11"/>
      <c r="E207" s="11"/>
      <c r="F207" s="11"/>
      <c r="G207" s="11"/>
      <c r="H207" s="11"/>
      <c r="I207" s="11"/>
      <c r="J207" s="11"/>
      <c r="K207" s="11"/>
      <c r="L207" s="11"/>
    </row>
    <row r="208" spans="2:12" ht="15.75" customHeight="1">
      <c r="B208" s="11"/>
      <c r="C208" s="11"/>
      <c r="D208" s="11"/>
      <c r="E208" s="11"/>
      <c r="F208" s="11"/>
      <c r="G208" s="11"/>
      <c r="H208" s="11"/>
      <c r="I208" s="11"/>
      <c r="J208" s="11"/>
      <c r="K208" s="11"/>
      <c r="L208" s="11"/>
    </row>
    <row r="209" spans="2:12" ht="15.75" customHeight="1">
      <c r="B209" s="11"/>
      <c r="C209" s="11"/>
      <c r="D209" s="11"/>
      <c r="E209" s="11"/>
      <c r="F209" s="11"/>
      <c r="G209" s="11"/>
      <c r="H209" s="11"/>
      <c r="I209" s="11"/>
      <c r="J209" s="11"/>
      <c r="K209" s="11"/>
      <c r="L209" s="11"/>
    </row>
    <row r="210" spans="2:12" ht="15.75" customHeight="1">
      <c r="B210" s="11"/>
      <c r="C210" s="11"/>
      <c r="D210" s="11"/>
      <c r="E210" s="11"/>
      <c r="F210" s="11"/>
      <c r="G210" s="11"/>
      <c r="H210" s="11"/>
      <c r="I210" s="11"/>
      <c r="J210" s="11"/>
      <c r="K210" s="11"/>
      <c r="L210" s="11"/>
    </row>
    <row r="211" spans="2:12" ht="15.75" customHeight="1">
      <c r="B211" s="11"/>
      <c r="C211" s="11"/>
      <c r="D211" s="11"/>
      <c r="E211" s="11"/>
      <c r="F211" s="11"/>
      <c r="G211" s="11"/>
      <c r="H211" s="11"/>
      <c r="I211" s="11"/>
      <c r="J211" s="11"/>
      <c r="K211" s="11"/>
      <c r="L211" s="11"/>
    </row>
    <row r="212" spans="2:12" ht="15.75" customHeight="1">
      <c r="B212" s="11"/>
      <c r="C212" s="11"/>
      <c r="D212" s="11"/>
      <c r="E212" s="11"/>
      <c r="F212" s="11"/>
      <c r="G212" s="11"/>
      <c r="H212" s="11"/>
      <c r="I212" s="11"/>
      <c r="J212" s="11"/>
      <c r="K212" s="11"/>
      <c r="L212" s="11"/>
    </row>
    <row r="213" spans="2:12" ht="15.75" customHeight="1">
      <c r="B213" s="11"/>
      <c r="C213" s="11"/>
      <c r="D213" s="11"/>
      <c r="E213" s="11"/>
      <c r="F213" s="11"/>
      <c r="G213" s="11"/>
      <c r="H213" s="11"/>
      <c r="I213" s="11"/>
      <c r="J213" s="11"/>
      <c r="K213" s="11"/>
      <c r="L213" s="11"/>
    </row>
    <row r="214" spans="2:12" ht="15.75" customHeight="1">
      <c r="B214" s="11"/>
      <c r="C214" s="11"/>
      <c r="D214" s="11"/>
      <c r="E214" s="11"/>
      <c r="F214" s="11"/>
      <c r="G214" s="11"/>
      <c r="H214" s="11"/>
      <c r="I214" s="11"/>
      <c r="J214" s="11"/>
      <c r="K214" s="11"/>
      <c r="L214" s="11"/>
    </row>
    <row r="215" spans="2:12" ht="15.75" customHeight="1">
      <c r="B215" s="11"/>
      <c r="C215" s="11"/>
      <c r="D215" s="11"/>
      <c r="E215" s="11"/>
      <c r="F215" s="11"/>
      <c r="G215" s="11"/>
      <c r="H215" s="11"/>
      <c r="I215" s="11"/>
      <c r="J215" s="11"/>
      <c r="K215" s="11"/>
      <c r="L215" s="11"/>
    </row>
    <row r="216" spans="2:12" ht="15.75" customHeight="1">
      <c r="B216" s="11"/>
      <c r="C216" s="11"/>
      <c r="D216" s="11"/>
      <c r="E216" s="11"/>
      <c r="F216" s="11"/>
      <c r="G216" s="11"/>
      <c r="H216" s="11"/>
      <c r="I216" s="11"/>
      <c r="J216" s="11"/>
      <c r="K216" s="11"/>
      <c r="L216" s="11"/>
    </row>
    <row r="217" spans="2:12" ht="15.75" customHeight="1">
      <c r="B217" s="11"/>
      <c r="C217" s="11"/>
      <c r="D217" s="11"/>
      <c r="E217" s="11"/>
      <c r="F217" s="11"/>
      <c r="G217" s="11"/>
      <c r="H217" s="11"/>
      <c r="I217" s="11"/>
      <c r="J217" s="11"/>
      <c r="K217" s="11"/>
      <c r="L217" s="11"/>
    </row>
    <row r="218" spans="2:12" ht="15.75" customHeight="1">
      <c r="B218" s="11"/>
      <c r="C218" s="11"/>
      <c r="D218" s="11"/>
      <c r="E218" s="11"/>
      <c r="F218" s="11"/>
      <c r="G218" s="11"/>
      <c r="H218" s="11"/>
      <c r="I218" s="11"/>
      <c r="J218" s="11"/>
      <c r="K218" s="11"/>
      <c r="L218" s="11"/>
    </row>
    <row r="219" spans="2:12" ht="15.75" customHeight="1">
      <c r="B219" s="11"/>
      <c r="C219" s="11"/>
      <c r="D219" s="11"/>
      <c r="E219" s="11"/>
      <c r="F219" s="11"/>
      <c r="G219" s="11"/>
      <c r="H219" s="11"/>
      <c r="I219" s="11"/>
      <c r="J219" s="11"/>
      <c r="K219" s="11"/>
      <c r="L219" s="11"/>
    </row>
    <row r="220" spans="2:12" ht="15.75" customHeight="1">
      <c r="B220" s="11"/>
      <c r="C220" s="11"/>
      <c r="D220" s="11"/>
      <c r="E220" s="11"/>
      <c r="F220" s="11"/>
      <c r="G220" s="11"/>
      <c r="H220" s="11"/>
      <c r="I220" s="11"/>
      <c r="J220" s="11"/>
      <c r="K220" s="11"/>
      <c r="L220" s="11"/>
    </row>
    <row r="221" spans="2:12" ht="15.75" customHeight="1">
      <c r="B221" s="11"/>
      <c r="C221" s="11"/>
      <c r="D221" s="11"/>
      <c r="E221" s="11"/>
      <c r="F221" s="11"/>
      <c r="G221" s="11"/>
      <c r="H221" s="11"/>
      <c r="I221" s="11"/>
      <c r="J221" s="11"/>
      <c r="K221" s="11"/>
      <c r="L221" s="11"/>
    </row>
    <row r="222" spans="2:12" ht="15.75" customHeight="1">
      <c r="B222" s="11"/>
      <c r="C222" s="11"/>
      <c r="D222" s="11"/>
      <c r="E222" s="11"/>
      <c r="F222" s="11"/>
      <c r="G222" s="11"/>
      <c r="H222" s="11"/>
      <c r="I222" s="11"/>
      <c r="J222" s="11"/>
      <c r="K222" s="11"/>
      <c r="L222" s="11"/>
    </row>
    <row r="223" spans="2:12" ht="15.75" customHeight="1">
      <c r="B223" s="11"/>
      <c r="C223" s="11"/>
      <c r="D223" s="11"/>
      <c r="E223" s="11"/>
      <c r="F223" s="11"/>
      <c r="G223" s="11"/>
      <c r="H223" s="11"/>
      <c r="I223" s="11"/>
      <c r="J223" s="11"/>
      <c r="K223" s="11"/>
      <c r="L223" s="11"/>
    </row>
    <row r="224" spans="2:12" ht="15.75" customHeight="1">
      <c r="B224" s="11"/>
      <c r="C224" s="11"/>
      <c r="D224" s="11"/>
      <c r="E224" s="11"/>
      <c r="F224" s="11"/>
      <c r="G224" s="11"/>
      <c r="H224" s="11"/>
      <c r="I224" s="11"/>
      <c r="J224" s="11"/>
      <c r="K224" s="11"/>
      <c r="L224" s="11"/>
    </row>
    <row r="225" spans="2:12" ht="15.75" customHeight="1">
      <c r="B225" s="11"/>
      <c r="C225" s="11"/>
      <c r="D225" s="11"/>
      <c r="E225" s="11"/>
      <c r="F225" s="11"/>
      <c r="G225" s="11"/>
      <c r="H225" s="11"/>
      <c r="I225" s="11"/>
      <c r="J225" s="11"/>
      <c r="K225" s="11"/>
      <c r="L225" s="11"/>
    </row>
    <row r="226" spans="2:12" ht="15.75" customHeight="1">
      <c r="B226" s="11"/>
      <c r="C226" s="11"/>
      <c r="D226" s="11"/>
      <c r="E226" s="11"/>
      <c r="F226" s="11"/>
      <c r="G226" s="11"/>
      <c r="H226" s="11"/>
      <c r="I226" s="11"/>
      <c r="J226" s="11"/>
      <c r="K226" s="11"/>
      <c r="L226" s="11"/>
    </row>
    <row r="227" spans="2:12" ht="15.75" customHeight="1">
      <c r="B227" s="11"/>
      <c r="C227" s="11"/>
      <c r="D227" s="11"/>
      <c r="E227" s="11"/>
      <c r="F227" s="11"/>
      <c r="G227" s="11"/>
      <c r="H227" s="11"/>
      <c r="I227" s="11"/>
      <c r="J227" s="11"/>
      <c r="K227" s="11"/>
      <c r="L227" s="11"/>
    </row>
    <row r="228" spans="2:12" ht="15.75" customHeight="1">
      <c r="B228" s="11"/>
      <c r="C228" s="11"/>
      <c r="D228" s="11"/>
      <c r="E228" s="11"/>
      <c r="F228" s="11"/>
      <c r="G228" s="11"/>
      <c r="H228" s="11"/>
      <c r="I228" s="11"/>
      <c r="J228" s="11"/>
      <c r="K228" s="11"/>
      <c r="L228" s="11"/>
    </row>
    <row r="229" spans="2:12" ht="15.75" customHeight="1">
      <c r="B229" s="11"/>
      <c r="C229" s="11"/>
      <c r="D229" s="11"/>
      <c r="E229" s="11"/>
      <c r="F229" s="11"/>
      <c r="G229" s="11"/>
      <c r="H229" s="11"/>
      <c r="I229" s="11"/>
      <c r="J229" s="11"/>
      <c r="K229" s="11"/>
      <c r="L229" s="11"/>
    </row>
    <row r="230" spans="2:12" ht="15.75" customHeight="1">
      <c r="B230" s="11"/>
      <c r="C230" s="11"/>
      <c r="D230" s="11"/>
      <c r="E230" s="11"/>
      <c r="F230" s="11"/>
      <c r="G230" s="11"/>
      <c r="H230" s="11"/>
      <c r="I230" s="11"/>
      <c r="J230" s="11"/>
      <c r="K230" s="11"/>
      <c r="L230" s="11"/>
    </row>
    <row r="231" spans="2:12" ht="15.75" customHeight="1">
      <c r="B231" s="11"/>
      <c r="C231" s="11"/>
      <c r="D231" s="11"/>
      <c r="E231" s="11"/>
      <c r="F231" s="11"/>
      <c r="G231" s="11"/>
      <c r="H231" s="11"/>
      <c r="I231" s="11"/>
      <c r="J231" s="11"/>
      <c r="K231" s="11"/>
      <c r="L231" s="11"/>
    </row>
    <row r="232" spans="2:12" ht="15.75" customHeight="1">
      <c r="B232" s="11"/>
      <c r="C232" s="11"/>
      <c r="D232" s="11"/>
      <c r="E232" s="11"/>
      <c r="F232" s="11"/>
      <c r="G232" s="11"/>
      <c r="H232" s="11"/>
      <c r="I232" s="11"/>
      <c r="J232" s="11"/>
      <c r="K232" s="11"/>
      <c r="L232" s="11"/>
    </row>
    <row r="233" spans="2:12" ht="15.75" customHeight="1">
      <c r="B233" s="11"/>
      <c r="C233" s="11"/>
      <c r="D233" s="11"/>
      <c r="E233" s="11"/>
      <c r="F233" s="11"/>
      <c r="G233" s="11"/>
      <c r="H233" s="11"/>
      <c r="I233" s="11"/>
      <c r="J233" s="11"/>
      <c r="K233" s="11"/>
      <c r="L233" s="11"/>
    </row>
    <row r="234" spans="2:12" ht="15.75" customHeight="1">
      <c r="B234" s="11"/>
      <c r="C234" s="11"/>
      <c r="D234" s="11"/>
      <c r="E234" s="11"/>
      <c r="F234" s="11"/>
      <c r="G234" s="11"/>
      <c r="H234" s="11"/>
      <c r="I234" s="11"/>
      <c r="J234" s="11"/>
      <c r="K234" s="11"/>
      <c r="L234" s="11"/>
    </row>
    <row r="235" spans="2:12" ht="15.75" customHeight="1">
      <c r="B235" s="11"/>
      <c r="C235" s="11"/>
      <c r="D235" s="11"/>
      <c r="E235" s="11"/>
      <c r="F235" s="11"/>
      <c r="G235" s="11"/>
      <c r="H235" s="11"/>
      <c r="I235" s="11"/>
      <c r="J235" s="11"/>
      <c r="K235" s="11"/>
      <c r="L235" s="11"/>
    </row>
    <row r="236" spans="2:12" ht="15.75" customHeight="1">
      <c r="B236" s="11"/>
      <c r="C236" s="11"/>
      <c r="D236" s="11"/>
      <c r="E236" s="11"/>
      <c r="F236" s="11"/>
      <c r="G236" s="11"/>
      <c r="H236" s="11"/>
      <c r="I236" s="11"/>
      <c r="J236" s="11"/>
      <c r="K236" s="11"/>
      <c r="L236" s="11"/>
    </row>
    <row r="237" spans="2:12" ht="15.75" customHeight="1">
      <c r="B237" s="11"/>
      <c r="C237" s="11"/>
      <c r="D237" s="11"/>
      <c r="E237" s="11"/>
      <c r="F237" s="11"/>
      <c r="G237" s="11"/>
      <c r="H237" s="11"/>
      <c r="I237" s="11"/>
      <c r="J237" s="11"/>
      <c r="K237" s="11"/>
      <c r="L237" s="11"/>
    </row>
    <row r="238" spans="2:12" ht="15.75" customHeight="1">
      <c r="B238" s="11"/>
      <c r="C238" s="11"/>
      <c r="D238" s="11"/>
      <c r="E238" s="11"/>
      <c r="F238" s="11"/>
      <c r="G238" s="11"/>
      <c r="H238" s="11"/>
      <c r="I238" s="11"/>
      <c r="J238" s="11"/>
      <c r="K238" s="11"/>
      <c r="L238" s="11"/>
    </row>
    <row r="239" spans="2:12" ht="15.75" customHeight="1"/>
    <row r="240" spans="2:12"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
    <mergeCell ref="E8:E9"/>
  </mergeCells>
  <printOptions horizontalCentered="1" gridLines="1"/>
  <pageMargins left="0.7" right="0.7" top="0.75" bottom="0.75" header="0" footer="0"/>
  <pageSetup fitToHeight="0" pageOrder="overThenDown" orientation="landscape" cellComments="atEnd"/>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A38"/>
  <sheetViews>
    <sheetView workbookViewId="0">
      <pane ySplit="1" topLeftCell="A17" activePane="bottomLeft" state="frozen"/>
      <selection pane="bottomLeft" sqref="A1:XFD1"/>
    </sheetView>
  </sheetViews>
  <sheetFormatPr defaultColWidth="12.609375" defaultRowHeight="15" customHeight="1"/>
  <cols>
    <col min="1" max="1" width="4.71875" customWidth="1"/>
    <col min="4" max="4" width="18.38671875" customWidth="1"/>
    <col min="13" max="13" width="21.609375" customWidth="1"/>
    <col min="19" max="19" width="15.609375" customWidth="1"/>
  </cols>
  <sheetData>
    <row r="1" spans="1:27" ht="15" customHeight="1">
      <c r="A1" s="4"/>
      <c r="B1" s="12" t="s">
        <v>29</v>
      </c>
      <c r="C1" s="8" t="s">
        <v>37</v>
      </c>
      <c r="D1" s="8" t="s">
        <v>36</v>
      </c>
      <c r="E1" s="13" t="s">
        <v>175</v>
      </c>
      <c r="F1" s="8" t="s">
        <v>176</v>
      </c>
      <c r="G1" s="13" t="s">
        <v>177</v>
      </c>
      <c r="H1" s="13" t="s">
        <v>178</v>
      </c>
      <c r="I1" s="13" t="s">
        <v>38</v>
      </c>
      <c r="J1" s="13" t="s">
        <v>32</v>
      </c>
      <c r="K1" s="13" t="s">
        <v>33</v>
      </c>
      <c r="L1" s="13" t="s">
        <v>34</v>
      </c>
      <c r="M1" s="14" t="s">
        <v>35</v>
      </c>
      <c r="O1" s="1" t="s">
        <v>0</v>
      </c>
      <c r="P1" s="1" t="s">
        <v>30</v>
      </c>
      <c r="Q1" s="1" t="s">
        <v>31</v>
      </c>
      <c r="R1" s="1" t="s">
        <v>47</v>
      </c>
      <c r="S1" s="1" t="s">
        <v>55</v>
      </c>
      <c r="T1" s="1" t="s">
        <v>56</v>
      </c>
      <c r="V1" s="1" t="s">
        <v>57</v>
      </c>
    </row>
    <row r="2" spans="1:27" ht="15" customHeight="1">
      <c r="A2" s="7">
        <v>1</v>
      </c>
      <c r="B2" s="33">
        <v>45986</v>
      </c>
      <c r="C2" s="16">
        <v>0.47569444444444442</v>
      </c>
      <c r="D2" s="18" t="str">
        <f>'112225'!D2</f>
        <v>RALPH BAKER 1</v>
      </c>
      <c r="E2" s="18">
        <v>1</v>
      </c>
      <c r="F2" s="18">
        <v>3</v>
      </c>
      <c r="G2" s="18">
        <v>11</v>
      </c>
      <c r="H2" s="18">
        <v>24</v>
      </c>
      <c r="I2" s="18">
        <v>27</v>
      </c>
      <c r="J2" s="18">
        <v>120</v>
      </c>
      <c r="K2" s="18">
        <v>0</v>
      </c>
      <c r="L2" s="18">
        <v>32</v>
      </c>
      <c r="M2" s="19" t="s">
        <v>58</v>
      </c>
      <c r="O2" s="1">
        <v>1.67</v>
      </c>
      <c r="P2" s="1">
        <v>3</v>
      </c>
      <c r="Q2" s="1">
        <v>11</v>
      </c>
      <c r="R2" s="1">
        <f t="shared" ref="R2:R26" si="0">P2*12+Q2</f>
        <v>47</v>
      </c>
      <c r="S2" s="1">
        <f>R2-'112425'!R2</f>
        <v>1</v>
      </c>
      <c r="T2" s="1">
        <f t="shared" ref="T2:T26" si="1">S2*O2</f>
        <v>1.67</v>
      </c>
      <c r="V2" s="1">
        <f>H2-'112425'!H2</f>
        <v>0</v>
      </c>
    </row>
    <row r="3" spans="1:27" ht="15" customHeight="1">
      <c r="A3" s="20">
        <v>2</v>
      </c>
      <c r="B3" s="33">
        <v>45986</v>
      </c>
      <c r="C3" s="21">
        <v>0.44097222222222221</v>
      </c>
      <c r="D3" s="18" t="str">
        <f>'112225'!D3</f>
        <v>SALLY 1-12H</v>
      </c>
      <c r="E3" s="23">
        <v>1</v>
      </c>
      <c r="F3" s="24">
        <v>2</v>
      </c>
      <c r="G3" s="24">
        <v>6</v>
      </c>
      <c r="H3" s="24">
        <v>156</v>
      </c>
      <c r="I3" s="24">
        <v>185</v>
      </c>
      <c r="J3" s="24">
        <v>100</v>
      </c>
      <c r="K3" s="24">
        <v>30</v>
      </c>
      <c r="L3" s="24">
        <v>36</v>
      </c>
      <c r="M3" s="19" t="s">
        <v>58</v>
      </c>
      <c r="O3" s="1">
        <v>1.67</v>
      </c>
      <c r="P3" s="1">
        <v>2</v>
      </c>
      <c r="Q3" s="1">
        <v>6</v>
      </c>
      <c r="R3" s="1">
        <f t="shared" si="0"/>
        <v>30</v>
      </c>
      <c r="S3" s="1">
        <f>R3-'112425'!R3</f>
        <v>0</v>
      </c>
      <c r="T3" s="1">
        <f t="shared" si="1"/>
        <v>0</v>
      </c>
      <c r="V3" s="1">
        <f>H3-'112425'!H3</f>
        <v>-8</v>
      </c>
    </row>
    <row r="4" spans="1:27" ht="15" customHeight="1">
      <c r="A4" s="20">
        <v>3</v>
      </c>
      <c r="B4" s="33">
        <v>45986</v>
      </c>
      <c r="C4" s="21">
        <v>0.44791666666666669</v>
      </c>
      <c r="D4" s="18" t="str">
        <f>'112225'!D4</f>
        <v>ANITA 1-13H</v>
      </c>
      <c r="E4" s="24">
        <v>2</v>
      </c>
      <c r="F4" s="24">
        <v>1</v>
      </c>
      <c r="G4" s="24">
        <v>0</v>
      </c>
      <c r="H4" s="24">
        <v>85</v>
      </c>
      <c r="I4" s="24">
        <v>81</v>
      </c>
      <c r="J4" s="24">
        <v>200</v>
      </c>
      <c r="K4" s="24">
        <v>50</v>
      </c>
      <c r="L4" s="24">
        <v>44</v>
      </c>
      <c r="M4" s="19" t="s">
        <v>58</v>
      </c>
      <c r="O4" s="1">
        <v>2.78</v>
      </c>
      <c r="P4" s="1">
        <v>1</v>
      </c>
      <c r="Q4" s="1">
        <v>0</v>
      </c>
      <c r="R4" s="1">
        <f t="shared" si="0"/>
        <v>12</v>
      </c>
      <c r="S4" s="1">
        <f>R4-'112425'!R4</f>
        <v>0</v>
      </c>
      <c r="T4" s="1">
        <f t="shared" si="1"/>
        <v>0</v>
      </c>
      <c r="V4" s="1">
        <f>H4-'112425'!H4</f>
        <v>5</v>
      </c>
    </row>
    <row r="5" spans="1:27" ht="15" customHeight="1">
      <c r="A5" s="7">
        <v>4</v>
      </c>
      <c r="B5" s="33">
        <v>45986</v>
      </c>
      <c r="C5" s="16">
        <v>0.46527777777777779</v>
      </c>
      <c r="D5" s="18" t="str">
        <f>'112225'!D5</f>
        <v>ARIANA 1-18H</v>
      </c>
      <c r="E5" s="18">
        <v>1</v>
      </c>
      <c r="F5" s="18">
        <v>2</v>
      </c>
      <c r="G5" s="18">
        <v>2</v>
      </c>
      <c r="H5" s="18">
        <v>123</v>
      </c>
      <c r="I5" s="18">
        <v>145</v>
      </c>
      <c r="J5" s="18">
        <v>150</v>
      </c>
      <c r="K5" s="18">
        <v>30</v>
      </c>
      <c r="L5" s="18">
        <v>45</v>
      </c>
      <c r="M5" s="19" t="s">
        <v>58</v>
      </c>
      <c r="O5" s="1">
        <v>1.67</v>
      </c>
      <c r="P5" s="1">
        <v>2</v>
      </c>
      <c r="Q5" s="1">
        <v>2</v>
      </c>
      <c r="R5" s="1">
        <f t="shared" si="0"/>
        <v>26</v>
      </c>
      <c r="S5" s="1">
        <f>R5-'112425'!R5</f>
        <v>0</v>
      </c>
      <c r="T5" s="1">
        <f t="shared" si="1"/>
        <v>0</v>
      </c>
      <c r="V5" s="1">
        <f>H5-'112425'!H5</f>
        <v>0</v>
      </c>
    </row>
    <row r="6" spans="1:27" ht="15" customHeight="1">
      <c r="A6" s="7">
        <v>5</v>
      </c>
      <c r="B6" s="33">
        <v>45986</v>
      </c>
      <c r="C6" s="16">
        <v>0.40625</v>
      </c>
      <c r="D6" s="18" t="str">
        <f>'112225'!D6</f>
        <v>CLAY 1-6H</v>
      </c>
      <c r="E6" s="18">
        <v>1</v>
      </c>
      <c r="F6" s="18">
        <v>2</v>
      </c>
      <c r="G6" s="18">
        <v>10</v>
      </c>
      <c r="H6" s="18">
        <v>230</v>
      </c>
      <c r="I6" s="18">
        <v>268</v>
      </c>
      <c r="J6" s="18">
        <v>150</v>
      </c>
      <c r="K6" s="18">
        <v>30</v>
      </c>
      <c r="L6" s="18">
        <v>37</v>
      </c>
      <c r="M6" s="19" t="s">
        <v>59</v>
      </c>
      <c r="O6" s="1">
        <v>1.67</v>
      </c>
      <c r="P6" s="1">
        <v>2</v>
      </c>
      <c r="Q6" s="1">
        <v>10</v>
      </c>
      <c r="R6" s="1">
        <f t="shared" si="0"/>
        <v>34</v>
      </c>
      <c r="S6" s="1">
        <f>R6-'112425'!R6</f>
        <v>1</v>
      </c>
      <c r="T6" s="1">
        <f t="shared" si="1"/>
        <v>1.67</v>
      </c>
      <c r="V6" s="1">
        <f>H6-'112425'!H6</f>
        <v>1</v>
      </c>
    </row>
    <row r="7" spans="1:27" ht="15" customHeight="1">
      <c r="A7" s="7">
        <v>6</v>
      </c>
      <c r="B7" s="33">
        <v>45986</v>
      </c>
      <c r="C7" s="16">
        <v>0.41666666666666669</v>
      </c>
      <c r="D7" s="18" t="str">
        <f>'112225'!D7</f>
        <v>ARIANA 1-7H</v>
      </c>
      <c r="E7" s="18">
        <v>1</v>
      </c>
      <c r="F7" s="18">
        <v>1</v>
      </c>
      <c r="G7" s="18">
        <v>11</v>
      </c>
      <c r="H7" s="18">
        <v>180</v>
      </c>
      <c r="I7" s="18">
        <v>206</v>
      </c>
      <c r="J7" s="18">
        <v>80</v>
      </c>
      <c r="K7" s="18">
        <v>50</v>
      </c>
      <c r="L7" s="18">
        <v>36</v>
      </c>
      <c r="M7" s="19" t="s">
        <v>60</v>
      </c>
      <c r="O7" s="1">
        <v>1.67</v>
      </c>
      <c r="P7" s="1">
        <v>1</v>
      </c>
      <c r="Q7" s="1">
        <v>11</v>
      </c>
      <c r="R7" s="1">
        <f t="shared" si="0"/>
        <v>23</v>
      </c>
      <c r="S7" s="1">
        <f>R7-'112425'!R7</f>
        <v>1</v>
      </c>
      <c r="T7" s="1">
        <f t="shared" si="1"/>
        <v>1.67</v>
      </c>
      <c r="V7" s="1">
        <f>H7-'112425'!H7</f>
        <v>-4</v>
      </c>
    </row>
    <row r="8" spans="1:27" ht="15" customHeight="1">
      <c r="A8" s="7">
        <v>7</v>
      </c>
      <c r="B8" s="33">
        <v>45986</v>
      </c>
      <c r="C8" s="16">
        <v>0.375</v>
      </c>
      <c r="D8" s="18" t="str">
        <f>'112225'!D8</f>
        <v>PEPPER 3-4H</v>
      </c>
      <c r="E8" s="49">
        <v>1</v>
      </c>
      <c r="F8" s="18">
        <v>1</v>
      </c>
      <c r="G8" s="18">
        <v>11</v>
      </c>
      <c r="H8" s="18">
        <v>35</v>
      </c>
      <c r="I8" s="18">
        <v>33</v>
      </c>
      <c r="J8" s="18"/>
      <c r="K8" s="18"/>
      <c r="L8" s="18">
        <v>32</v>
      </c>
      <c r="M8" s="28" t="s">
        <v>61</v>
      </c>
      <c r="O8" s="1">
        <v>1.67</v>
      </c>
      <c r="P8" s="1">
        <v>1</v>
      </c>
      <c r="Q8" s="1">
        <v>11</v>
      </c>
      <c r="R8" s="1">
        <f t="shared" si="0"/>
        <v>23</v>
      </c>
      <c r="S8" s="1">
        <f>R8-'112425'!R8</f>
        <v>0</v>
      </c>
      <c r="T8" s="1">
        <f t="shared" si="1"/>
        <v>0</v>
      </c>
      <c r="V8" s="1">
        <f>H8-'112425'!H8</f>
        <v>-79</v>
      </c>
    </row>
    <row r="9" spans="1:27" ht="15" customHeight="1">
      <c r="A9" s="7">
        <v>8</v>
      </c>
      <c r="B9" s="33">
        <v>45986</v>
      </c>
      <c r="C9" s="16">
        <v>0.37847222222222221</v>
      </c>
      <c r="D9" s="18" t="str">
        <f>'112225'!D9</f>
        <v>PEPPER 4-4H</v>
      </c>
      <c r="E9" s="50"/>
      <c r="F9" s="18"/>
      <c r="G9" s="18"/>
      <c r="H9" s="18">
        <v>76</v>
      </c>
      <c r="I9" s="18">
        <v>98</v>
      </c>
      <c r="J9" s="18">
        <v>200</v>
      </c>
      <c r="K9" s="18">
        <v>50</v>
      </c>
      <c r="L9" s="18">
        <v>32</v>
      </c>
      <c r="M9" s="19" t="s">
        <v>62</v>
      </c>
      <c r="O9" s="1">
        <v>1.67</v>
      </c>
      <c r="R9" s="1">
        <f t="shared" si="0"/>
        <v>0</v>
      </c>
      <c r="S9" s="1">
        <f>R9-'112425'!R9</f>
        <v>0</v>
      </c>
      <c r="T9" s="1">
        <f t="shared" si="1"/>
        <v>0</v>
      </c>
      <c r="V9" s="1">
        <f>H9-'112425'!H9</f>
        <v>-6</v>
      </c>
    </row>
    <row r="10" spans="1:27" ht="15" customHeight="1">
      <c r="A10" s="20">
        <v>9</v>
      </c>
      <c r="B10" s="33">
        <v>45986</v>
      </c>
      <c r="C10" s="21">
        <v>0.4861111111111111</v>
      </c>
      <c r="D10" s="18" t="str">
        <f>'112225'!D10</f>
        <v>BIRD 3319 1-6</v>
      </c>
      <c r="E10" s="23">
        <v>1</v>
      </c>
      <c r="F10" s="24">
        <v>1</v>
      </c>
      <c r="G10" s="24">
        <v>7</v>
      </c>
      <c r="H10" s="24">
        <v>0</v>
      </c>
      <c r="I10" s="24">
        <v>0</v>
      </c>
      <c r="J10" s="24"/>
      <c r="K10" s="24"/>
      <c r="L10" s="24">
        <v>33</v>
      </c>
      <c r="M10" s="19" t="s">
        <v>63</v>
      </c>
      <c r="O10" s="1">
        <v>1.67</v>
      </c>
      <c r="P10" s="1">
        <v>1</v>
      </c>
      <c r="Q10" s="1">
        <v>7</v>
      </c>
      <c r="R10" s="1">
        <f t="shared" si="0"/>
        <v>19</v>
      </c>
      <c r="S10" s="1">
        <f>R10-'112425'!R10</f>
        <v>0</v>
      </c>
      <c r="T10" s="1">
        <f t="shared" si="1"/>
        <v>0</v>
      </c>
      <c r="V10" s="1">
        <f>H10-'112425'!H10</f>
        <v>0</v>
      </c>
    </row>
    <row r="11" spans="1:27" ht="15" customHeight="1">
      <c r="A11" s="7">
        <v>10</v>
      </c>
      <c r="B11" s="33">
        <v>45986</v>
      </c>
      <c r="C11" s="16"/>
      <c r="D11" s="18" t="str">
        <f>'112225'!D11</f>
        <v>BIRD 3319 3-6</v>
      </c>
      <c r="E11" s="18">
        <v>1</v>
      </c>
      <c r="F11" s="18"/>
      <c r="G11" s="18"/>
      <c r="H11" s="18">
        <v>39</v>
      </c>
      <c r="I11" s="18">
        <v>46</v>
      </c>
      <c r="J11" s="18"/>
      <c r="K11" s="18"/>
      <c r="L11" s="18">
        <v>33</v>
      </c>
      <c r="M11" s="19" t="s">
        <v>64</v>
      </c>
      <c r="O11" s="1">
        <v>1.67</v>
      </c>
      <c r="R11" s="1">
        <f t="shared" si="0"/>
        <v>0</v>
      </c>
      <c r="S11" s="1">
        <f>R11-'112425'!R11</f>
        <v>0</v>
      </c>
      <c r="T11" s="1">
        <f t="shared" si="1"/>
        <v>0</v>
      </c>
      <c r="V11" s="1">
        <f>H11-'112425'!H11</f>
        <v>-2</v>
      </c>
    </row>
    <row r="12" spans="1:27" ht="15" customHeight="1">
      <c r="A12" s="7">
        <v>11</v>
      </c>
      <c r="B12" s="33">
        <v>45986</v>
      </c>
      <c r="C12" s="16"/>
      <c r="D12" s="18" t="str">
        <f>'112225'!D12</f>
        <v>JELLISON A 11-5</v>
      </c>
      <c r="E12" s="18">
        <v>1</v>
      </c>
      <c r="F12" s="18">
        <v>1</v>
      </c>
      <c r="G12" s="18">
        <v>8</v>
      </c>
      <c r="H12" s="18">
        <v>7</v>
      </c>
      <c r="I12" s="18"/>
      <c r="J12" s="18">
        <v>100</v>
      </c>
      <c r="K12" s="18">
        <v>50</v>
      </c>
      <c r="L12" s="18"/>
      <c r="M12" s="4" t="s">
        <v>65</v>
      </c>
      <c r="O12" s="1">
        <v>1.67</v>
      </c>
      <c r="P12" s="1">
        <v>1</v>
      </c>
      <c r="Q12" s="1">
        <v>8</v>
      </c>
      <c r="R12" s="1">
        <f t="shared" si="0"/>
        <v>20</v>
      </c>
      <c r="S12" s="1">
        <f>R12-'112425'!R12</f>
        <v>0</v>
      </c>
      <c r="T12" s="1">
        <f t="shared" si="1"/>
        <v>0</v>
      </c>
      <c r="V12" s="1">
        <f>H12-'112425'!H12</f>
        <v>1</v>
      </c>
    </row>
    <row r="13" spans="1:27" ht="15" customHeight="1">
      <c r="A13" s="20">
        <v>12</v>
      </c>
      <c r="B13" s="33">
        <v>45986</v>
      </c>
      <c r="C13" s="21">
        <v>0.50347222222222221</v>
      </c>
      <c r="D13" s="18" t="str">
        <f>'112225'!D13</f>
        <v>ROCK 3319 1-16H</v>
      </c>
      <c r="E13" s="24">
        <v>1</v>
      </c>
      <c r="F13" s="24">
        <v>2</v>
      </c>
      <c r="G13" s="24">
        <v>2</v>
      </c>
      <c r="H13" s="24">
        <v>120</v>
      </c>
      <c r="I13" s="24">
        <v>128</v>
      </c>
      <c r="J13" s="24">
        <v>120</v>
      </c>
      <c r="K13" s="24">
        <v>20</v>
      </c>
      <c r="L13" s="24">
        <v>31</v>
      </c>
      <c r="M13" s="27" t="s">
        <v>66</v>
      </c>
      <c r="O13" s="1">
        <v>1.67</v>
      </c>
      <c r="P13" s="1">
        <v>2</v>
      </c>
      <c r="Q13" s="1">
        <v>2</v>
      </c>
      <c r="R13" s="1">
        <f t="shared" si="0"/>
        <v>26</v>
      </c>
      <c r="S13" s="1">
        <f>R13-'112425'!R13</f>
        <v>0</v>
      </c>
      <c r="T13" s="1">
        <f t="shared" si="1"/>
        <v>0</v>
      </c>
      <c r="V13" s="1">
        <f>H13-'112425'!H13</f>
        <v>-24</v>
      </c>
    </row>
    <row r="14" spans="1:27" ht="15" customHeight="1">
      <c r="A14" s="7">
        <v>13</v>
      </c>
      <c r="B14" s="33">
        <v>45986</v>
      </c>
      <c r="C14" s="16"/>
      <c r="D14" s="18" t="str">
        <f>'112225'!D14</f>
        <v>Dixie 3120 1‐25 SWD</v>
      </c>
      <c r="E14" s="18"/>
      <c r="F14" s="18"/>
      <c r="G14" s="18"/>
      <c r="H14" s="18"/>
      <c r="I14" s="18"/>
      <c r="J14" s="18"/>
      <c r="K14" s="18"/>
      <c r="L14" s="18"/>
      <c r="M14" s="19"/>
      <c r="R14" s="1">
        <f t="shared" si="0"/>
        <v>0</v>
      </c>
      <c r="S14" s="1">
        <f>R14-'112425'!R14</f>
        <v>0</v>
      </c>
      <c r="T14" s="1">
        <f t="shared" si="1"/>
        <v>0</v>
      </c>
    </row>
    <row r="15" spans="1:27" ht="15" customHeight="1">
      <c r="A15" s="20">
        <v>14</v>
      </c>
      <c r="B15" s="33">
        <v>45986</v>
      </c>
      <c r="C15" s="21">
        <v>0.7270833333333333</v>
      </c>
      <c r="D15" s="18" t="str">
        <f>'112225'!D15</f>
        <v>GARLAND 1-26H</v>
      </c>
      <c r="E15" s="24">
        <v>1</v>
      </c>
      <c r="F15" s="24">
        <v>3</v>
      </c>
      <c r="G15" s="24">
        <v>1.5</v>
      </c>
      <c r="H15" s="24">
        <v>1.6</v>
      </c>
      <c r="I15" s="24">
        <v>255</v>
      </c>
      <c r="J15" s="24">
        <v>195</v>
      </c>
      <c r="K15" s="24">
        <v>39.5</v>
      </c>
      <c r="L15" s="24">
        <v>100</v>
      </c>
      <c r="M15" s="27" t="s">
        <v>67</v>
      </c>
      <c r="N15" s="34"/>
      <c r="O15" s="1">
        <v>1.67</v>
      </c>
      <c r="P15" s="34">
        <v>3</v>
      </c>
      <c r="Q15" s="34">
        <v>1.5</v>
      </c>
      <c r="R15" s="1">
        <f t="shared" si="0"/>
        <v>37.5</v>
      </c>
      <c r="S15" s="1">
        <f>R15-'112425'!R15</f>
        <v>5.5</v>
      </c>
      <c r="T15" s="1">
        <f t="shared" si="1"/>
        <v>9.1849999999999987</v>
      </c>
      <c r="U15" s="34"/>
      <c r="V15" s="1">
        <f>H15-'112425'!H15</f>
        <v>-32.4</v>
      </c>
      <c r="W15" s="34"/>
      <c r="X15" s="34"/>
      <c r="Y15" s="34"/>
      <c r="Z15" s="34"/>
      <c r="AA15" s="34"/>
    </row>
    <row r="16" spans="1:27" ht="15" customHeight="1">
      <c r="A16" s="7">
        <v>15</v>
      </c>
      <c r="B16" s="33">
        <v>45986</v>
      </c>
      <c r="C16" s="18"/>
      <c r="D16" s="18" t="str">
        <f>'112225'!D16</f>
        <v>PTL 1-15H</v>
      </c>
      <c r="E16" s="18">
        <v>1</v>
      </c>
      <c r="F16" s="18">
        <v>6</v>
      </c>
      <c r="G16" s="18">
        <v>3</v>
      </c>
      <c r="H16" s="18">
        <v>56</v>
      </c>
      <c r="I16" s="18">
        <v>55</v>
      </c>
      <c r="J16" s="18">
        <v>120</v>
      </c>
      <c r="K16" s="18"/>
      <c r="L16" s="18">
        <v>56</v>
      </c>
      <c r="M16" s="19" t="s">
        <v>58</v>
      </c>
      <c r="O16" s="1">
        <v>1.67</v>
      </c>
      <c r="P16" s="1">
        <v>6</v>
      </c>
      <c r="Q16" s="1">
        <v>3</v>
      </c>
      <c r="R16" s="1">
        <f t="shared" si="0"/>
        <v>75</v>
      </c>
      <c r="S16" s="1">
        <f>R16-'112425'!R16</f>
        <v>2</v>
      </c>
      <c r="T16" s="1">
        <f t="shared" si="1"/>
        <v>3.34</v>
      </c>
      <c r="V16" s="1">
        <f>H16-'112425'!H16</f>
        <v>0</v>
      </c>
    </row>
    <row r="17" spans="1:22" ht="15" customHeight="1">
      <c r="A17" s="7">
        <v>16</v>
      </c>
      <c r="B17" s="33">
        <v>45986</v>
      </c>
      <c r="C17" s="16"/>
      <c r="D17" s="18" t="str">
        <f>'112225'!D17</f>
        <v>GABRIEL 2-12H</v>
      </c>
      <c r="E17" s="18">
        <v>2</v>
      </c>
      <c r="F17" s="18">
        <v>7</v>
      </c>
      <c r="G17" s="18">
        <v>11</v>
      </c>
      <c r="H17" s="18">
        <v>54</v>
      </c>
      <c r="I17" s="18">
        <v>120</v>
      </c>
      <c r="J17" s="18">
        <v>200</v>
      </c>
      <c r="K17" s="18">
        <v>50</v>
      </c>
      <c r="L17" s="18"/>
      <c r="M17" s="19" t="s">
        <v>39</v>
      </c>
      <c r="O17" s="1">
        <v>1.67</v>
      </c>
      <c r="P17" s="1">
        <v>7</v>
      </c>
      <c r="Q17" s="1">
        <v>11</v>
      </c>
      <c r="R17" s="1">
        <f t="shared" si="0"/>
        <v>95</v>
      </c>
      <c r="S17" s="1">
        <f>R17-'112425'!R17</f>
        <v>9</v>
      </c>
      <c r="T17" s="1">
        <f t="shared" si="1"/>
        <v>15.03</v>
      </c>
      <c r="V17" s="1">
        <f>H17-'112425'!H17</f>
        <v>5</v>
      </c>
    </row>
    <row r="18" spans="1:22" ht="15" customHeight="1">
      <c r="A18" s="7">
        <v>17</v>
      </c>
      <c r="B18" s="33">
        <v>45986</v>
      </c>
      <c r="C18" s="16"/>
      <c r="D18" s="18" t="str">
        <f>'112225'!D18</f>
        <v>GABRIEL 1-12H</v>
      </c>
      <c r="E18" s="18">
        <v>2</v>
      </c>
      <c r="F18" s="18">
        <v>3</v>
      </c>
      <c r="G18" s="18">
        <v>5</v>
      </c>
      <c r="H18" s="18">
        <v>42</v>
      </c>
      <c r="I18" s="18">
        <v>0</v>
      </c>
      <c r="J18" s="18">
        <v>100</v>
      </c>
      <c r="K18" s="18">
        <v>50</v>
      </c>
      <c r="L18" s="18">
        <v>66</v>
      </c>
      <c r="M18" s="19" t="s">
        <v>39</v>
      </c>
      <c r="O18" s="1">
        <v>1.67</v>
      </c>
      <c r="P18" s="1">
        <v>3</v>
      </c>
      <c r="Q18" s="1">
        <v>5</v>
      </c>
      <c r="R18" s="1">
        <f t="shared" si="0"/>
        <v>41</v>
      </c>
      <c r="S18" s="1">
        <f>R18-'112425'!R18</f>
        <v>0</v>
      </c>
      <c r="T18" s="1">
        <f t="shared" si="1"/>
        <v>0</v>
      </c>
      <c r="V18" s="1">
        <f>H18-'112425'!H18</f>
        <v>0</v>
      </c>
    </row>
    <row r="19" spans="1:22" ht="15" customHeight="1">
      <c r="A19" s="7">
        <v>18</v>
      </c>
      <c r="B19" s="33">
        <v>45986</v>
      </c>
      <c r="C19" s="16"/>
      <c r="D19" s="18" t="str">
        <f>'112225'!D19</f>
        <v>SEAN 1-18H</v>
      </c>
      <c r="E19" s="18">
        <v>1</v>
      </c>
      <c r="F19" s="18">
        <v>7</v>
      </c>
      <c r="G19" s="18">
        <v>8</v>
      </c>
      <c r="H19" s="18">
        <v>56</v>
      </c>
      <c r="I19" s="18">
        <v>75</v>
      </c>
      <c r="J19" s="18">
        <v>150</v>
      </c>
      <c r="K19" s="18">
        <v>50</v>
      </c>
      <c r="L19" s="18">
        <v>60</v>
      </c>
      <c r="M19" s="19" t="s">
        <v>39</v>
      </c>
      <c r="O19" s="1">
        <v>1.67</v>
      </c>
      <c r="P19" s="1">
        <v>7</v>
      </c>
      <c r="Q19" s="1">
        <v>8</v>
      </c>
      <c r="R19" s="1">
        <f t="shared" si="0"/>
        <v>92</v>
      </c>
      <c r="S19" s="1">
        <f>R19-'112425'!R19</f>
        <v>2</v>
      </c>
      <c r="T19" s="1">
        <f t="shared" si="1"/>
        <v>3.34</v>
      </c>
      <c r="V19" s="1">
        <f>H19-'112425'!H19</f>
        <v>-2</v>
      </c>
    </row>
    <row r="20" spans="1:22" ht="15" customHeight="1">
      <c r="A20" s="7">
        <v>19</v>
      </c>
      <c r="B20" s="33">
        <v>45986</v>
      </c>
      <c r="C20" s="16"/>
      <c r="D20" s="18" t="str">
        <f>'112225'!D20</f>
        <v>SEAN 3119 3-18H</v>
      </c>
      <c r="E20" s="18">
        <v>1</v>
      </c>
      <c r="F20" s="18">
        <v>1</v>
      </c>
      <c r="G20" s="18">
        <v>11</v>
      </c>
      <c r="H20" s="18">
        <v>45</v>
      </c>
      <c r="I20" s="18">
        <v>0</v>
      </c>
      <c r="J20" s="18">
        <v>100</v>
      </c>
      <c r="K20" s="18">
        <v>50</v>
      </c>
      <c r="L20" s="18">
        <v>58</v>
      </c>
      <c r="M20" s="19" t="s">
        <v>39</v>
      </c>
      <c r="O20" s="1">
        <v>1.67</v>
      </c>
      <c r="P20" s="1">
        <v>1</v>
      </c>
      <c r="Q20" s="1">
        <v>11</v>
      </c>
      <c r="R20" s="1">
        <f t="shared" si="0"/>
        <v>23</v>
      </c>
      <c r="S20" s="1">
        <f>R20-'112425'!R20</f>
        <v>0</v>
      </c>
      <c r="T20" s="1">
        <f t="shared" si="1"/>
        <v>0</v>
      </c>
      <c r="V20" s="1">
        <f>H20-'112425'!H20</f>
        <v>2</v>
      </c>
    </row>
    <row r="21" spans="1:22" ht="15" customHeight="1">
      <c r="A21" s="7">
        <v>20</v>
      </c>
      <c r="B21" s="33">
        <v>45986</v>
      </c>
      <c r="C21" s="16"/>
      <c r="D21" s="18" t="str">
        <f>'112225'!D21</f>
        <v>ELLIS 2-19H</v>
      </c>
      <c r="E21" s="18">
        <v>1</v>
      </c>
      <c r="F21" s="18">
        <v>5</v>
      </c>
      <c r="G21" s="18">
        <v>4</v>
      </c>
      <c r="H21" s="18">
        <v>87</v>
      </c>
      <c r="I21" s="18">
        <v>97</v>
      </c>
      <c r="J21" s="18">
        <v>150</v>
      </c>
      <c r="K21" s="18">
        <v>50</v>
      </c>
      <c r="L21" s="18">
        <v>57</v>
      </c>
      <c r="M21" s="19" t="s">
        <v>39</v>
      </c>
      <c r="O21" s="1">
        <v>1.67</v>
      </c>
      <c r="P21" s="1">
        <v>5</v>
      </c>
      <c r="Q21" s="1">
        <v>4</v>
      </c>
      <c r="R21" s="1">
        <f t="shared" si="0"/>
        <v>64</v>
      </c>
      <c r="S21" s="1">
        <f>R21-'112425'!R21</f>
        <v>2</v>
      </c>
      <c r="T21" s="1">
        <f t="shared" si="1"/>
        <v>3.34</v>
      </c>
      <c r="V21" s="1">
        <f>H21-'112425'!H21</f>
        <v>-8</v>
      </c>
    </row>
    <row r="22" spans="1:22" ht="15" customHeight="1">
      <c r="A22" s="7">
        <v>21</v>
      </c>
      <c r="B22" s="33">
        <v>45986</v>
      </c>
      <c r="C22" s="16"/>
      <c r="D22" s="18" t="str">
        <f>'112225'!D22</f>
        <v>BROTHERS 1-6H</v>
      </c>
      <c r="E22" s="18">
        <v>1</v>
      </c>
      <c r="F22" s="18">
        <v>4</v>
      </c>
      <c r="G22" s="18">
        <v>5</v>
      </c>
      <c r="H22" s="18">
        <v>11</v>
      </c>
      <c r="I22" s="18">
        <v>0</v>
      </c>
      <c r="J22" s="18">
        <v>100</v>
      </c>
      <c r="K22" s="18">
        <v>50</v>
      </c>
      <c r="L22" s="18">
        <v>60</v>
      </c>
      <c r="M22" s="28" t="s">
        <v>39</v>
      </c>
      <c r="O22" s="1">
        <v>2.78</v>
      </c>
      <c r="P22" s="1">
        <v>4</v>
      </c>
      <c r="Q22" s="1">
        <v>5</v>
      </c>
      <c r="R22" s="1">
        <f t="shared" si="0"/>
        <v>53</v>
      </c>
      <c r="S22" s="1">
        <f>R22-'112425'!R22</f>
        <v>1</v>
      </c>
      <c r="T22" s="1">
        <f t="shared" si="1"/>
        <v>2.78</v>
      </c>
      <c r="V22" s="1">
        <f>H22-'112425'!H22</f>
        <v>-63</v>
      </c>
    </row>
    <row r="23" spans="1:22" ht="15" customHeight="1">
      <c r="A23" s="7">
        <v>22</v>
      </c>
      <c r="B23" s="33">
        <v>45986</v>
      </c>
      <c r="C23" s="16"/>
      <c r="D23" s="18" t="str">
        <f>'112225'!D23</f>
        <v>BROTHERS 2-6H</v>
      </c>
      <c r="E23" s="18">
        <v>1</v>
      </c>
      <c r="F23" s="18">
        <v>3</v>
      </c>
      <c r="G23" s="18">
        <v>1</v>
      </c>
      <c r="H23" s="18">
        <v>97</v>
      </c>
      <c r="I23" s="18">
        <v>127</v>
      </c>
      <c r="J23" s="18"/>
      <c r="K23" s="18"/>
      <c r="L23" s="18">
        <v>80</v>
      </c>
      <c r="M23" s="19" t="s">
        <v>39</v>
      </c>
      <c r="O23" s="1">
        <v>2.78</v>
      </c>
      <c r="P23" s="1">
        <v>3</v>
      </c>
      <c r="Q23" s="1">
        <v>1</v>
      </c>
      <c r="R23" s="1">
        <f t="shared" si="0"/>
        <v>37</v>
      </c>
      <c r="S23" s="1">
        <f>R23-'112425'!R23</f>
        <v>1</v>
      </c>
      <c r="T23" s="1">
        <f t="shared" si="1"/>
        <v>2.78</v>
      </c>
      <c r="V23" s="1">
        <f>H23-'112425'!H23</f>
        <v>52</v>
      </c>
    </row>
    <row r="24" spans="1:22" ht="15" customHeight="1">
      <c r="A24" s="20">
        <v>23</v>
      </c>
      <c r="B24" s="33">
        <v>45986</v>
      </c>
      <c r="C24" s="21"/>
      <c r="D24" s="18" t="str">
        <f>'112225'!D24</f>
        <v>SARAH 1-34H</v>
      </c>
      <c r="E24" s="23">
        <v>1</v>
      </c>
      <c r="F24" s="24">
        <v>4</v>
      </c>
      <c r="G24" s="24">
        <v>10</v>
      </c>
      <c r="H24" s="24">
        <v>51.74</v>
      </c>
      <c r="I24" s="24">
        <v>35.75</v>
      </c>
      <c r="J24" s="24"/>
      <c r="K24" s="24"/>
      <c r="L24" s="24">
        <v>45.91</v>
      </c>
      <c r="M24" s="27" t="s">
        <v>68</v>
      </c>
      <c r="O24" s="1">
        <v>1.67</v>
      </c>
      <c r="P24" s="1">
        <v>4</v>
      </c>
      <c r="Q24" s="1">
        <v>10</v>
      </c>
      <c r="R24" s="1">
        <f t="shared" si="0"/>
        <v>58</v>
      </c>
      <c r="S24" s="1">
        <f>R24-'112425'!R24</f>
        <v>9</v>
      </c>
      <c r="T24" s="1">
        <f t="shared" si="1"/>
        <v>15.03</v>
      </c>
      <c r="V24" s="1">
        <f>H24-'112425'!H24</f>
        <v>-25.859999999999992</v>
      </c>
    </row>
    <row r="25" spans="1:22" ht="15" customHeight="1">
      <c r="A25" s="20">
        <v>24</v>
      </c>
      <c r="B25" s="33">
        <v>45986</v>
      </c>
      <c r="C25" s="21"/>
      <c r="D25" s="18" t="str">
        <f>'112225'!D25</f>
        <v>SARAH 2-34H</v>
      </c>
      <c r="E25" s="23">
        <v>1</v>
      </c>
      <c r="F25" s="24">
        <v>4</v>
      </c>
      <c r="G25" s="24">
        <v>0</v>
      </c>
      <c r="H25" s="24">
        <v>34.25</v>
      </c>
      <c r="I25" s="24">
        <v>59.18</v>
      </c>
      <c r="J25" s="24"/>
      <c r="K25" s="24"/>
      <c r="L25" s="24">
        <v>53.04</v>
      </c>
      <c r="M25" s="27"/>
      <c r="O25" s="1">
        <v>1.67</v>
      </c>
      <c r="P25" s="1">
        <v>4</v>
      </c>
      <c r="Q25" s="1">
        <v>0</v>
      </c>
      <c r="R25" s="1">
        <f t="shared" si="0"/>
        <v>48</v>
      </c>
      <c r="S25" s="1">
        <v>0</v>
      </c>
      <c r="T25" s="1">
        <f t="shared" si="1"/>
        <v>0</v>
      </c>
      <c r="V25" s="1">
        <f>H25-'112425'!H25</f>
        <v>-7.0499999999999972</v>
      </c>
    </row>
    <row r="26" spans="1:22" ht="15" customHeight="1">
      <c r="A26" s="7">
        <v>25</v>
      </c>
      <c r="B26" s="33">
        <v>45986</v>
      </c>
      <c r="C26" s="16"/>
      <c r="D26" s="18" t="str">
        <f>'112225'!D26</f>
        <v>WANDA 1-2H 1L</v>
      </c>
      <c r="E26" s="5">
        <v>1</v>
      </c>
      <c r="F26" s="18">
        <v>4</v>
      </c>
      <c r="G26" s="18">
        <v>2</v>
      </c>
      <c r="H26" s="18">
        <v>227</v>
      </c>
      <c r="I26" s="18">
        <v>197</v>
      </c>
      <c r="J26" s="18"/>
      <c r="K26" s="18"/>
      <c r="L26" s="18">
        <v>50.47</v>
      </c>
      <c r="M26" s="28" t="s">
        <v>69</v>
      </c>
      <c r="O26" s="1">
        <v>2.78</v>
      </c>
      <c r="P26" s="1">
        <v>4</v>
      </c>
      <c r="Q26" s="1">
        <v>2</v>
      </c>
      <c r="R26" s="1">
        <f t="shared" si="0"/>
        <v>50</v>
      </c>
      <c r="S26" s="1">
        <f>R26-'112425'!R26</f>
        <v>0.5</v>
      </c>
      <c r="T26" s="1">
        <f t="shared" si="1"/>
        <v>1.39</v>
      </c>
      <c r="V26" s="1">
        <f>H26-'112425'!H26</f>
        <v>0</v>
      </c>
    </row>
    <row r="27" spans="1:22" ht="15" customHeight="1">
      <c r="A27" s="7">
        <v>26</v>
      </c>
      <c r="B27" s="33">
        <v>45986</v>
      </c>
      <c r="C27" s="29"/>
      <c r="D27" s="18" t="str">
        <f>'112225'!D27</f>
        <v>Yankee 3317 1-27 SWD</v>
      </c>
      <c r="E27" s="18"/>
      <c r="F27" s="18"/>
      <c r="G27" s="18"/>
      <c r="H27" s="18"/>
      <c r="I27" s="18"/>
      <c r="J27" s="18"/>
      <c r="K27" s="18"/>
      <c r="L27" s="18"/>
      <c r="M27" s="19"/>
    </row>
    <row r="28" spans="1:22" ht="15" customHeight="1">
      <c r="A28" s="7">
        <v>27</v>
      </c>
      <c r="B28" s="15"/>
      <c r="C28" s="18"/>
      <c r="D28" s="18"/>
      <c r="E28" s="18"/>
      <c r="F28" s="18"/>
      <c r="G28" s="18"/>
      <c r="H28" s="18"/>
      <c r="I28" s="18"/>
      <c r="J28" s="18"/>
      <c r="K28" s="18"/>
      <c r="L28" s="18"/>
      <c r="M28" s="19"/>
    </row>
    <row r="29" spans="1:22" ht="12.3">
      <c r="A29" s="7">
        <v>28</v>
      </c>
      <c r="B29" s="15"/>
      <c r="C29" s="18"/>
      <c r="D29" s="18"/>
      <c r="E29" s="18"/>
      <c r="F29" s="18"/>
      <c r="G29" s="18"/>
      <c r="H29" s="18"/>
      <c r="I29" s="18"/>
      <c r="J29" s="18"/>
      <c r="K29" s="18"/>
      <c r="L29" s="18"/>
      <c r="M29" s="19"/>
    </row>
    <row r="30" spans="1:22" ht="12.3">
      <c r="A30" s="7">
        <v>29</v>
      </c>
      <c r="B30" s="15"/>
      <c r="C30" s="18"/>
      <c r="D30" s="18"/>
      <c r="E30" s="18"/>
      <c r="F30" s="18"/>
      <c r="G30" s="18"/>
      <c r="H30" s="18"/>
      <c r="I30" s="18"/>
      <c r="J30" s="18"/>
      <c r="K30" s="18"/>
      <c r="L30" s="18"/>
      <c r="M30" s="19"/>
    </row>
    <row r="31" spans="1:22" ht="12.3">
      <c r="A31" s="7">
        <v>30</v>
      </c>
      <c r="B31" s="15"/>
      <c r="C31" s="18"/>
      <c r="D31" s="18"/>
      <c r="E31" s="18"/>
      <c r="F31" s="18"/>
      <c r="G31" s="18"/>
      <c r="H31" s="18"/>
      <c r="I31" s="18"/>
      <c r="J31" s="18"/>
      <c r="K31" s="18"/>
      <c r="L31" s="18"/>
      <c r="M31" s="19"/>
    </row>
    <row r="32" spans="1:22" ht="12.3">
      <c r="A32" s="7">
        <v>31</v>
      </c>
      <c r="B32" s="15"/>
      <c r="C32" s="18"/>
      <c r="D32" s="18"/>
      <c r="E32" s="18"/>
      <c r="F32" s="18"/>
      <c r="G32" s="18"/>
      <c r="H32" s="18"/>
      <c r="I32" s="18"/>
      <c r="J32" s="18"/>
      <c r="K32" s="18"/>
      <c r="L32" s="18"/>
      <c r="M32" s="19"/>
    </row>
    <row r="33" spans="1:20" ht="12.3">
      <c r="A33" s="7">
        <v>32</v>
      </c>
      <c r="B33" s="15"/>
      <c r="C33" s="18"/>
      <c r="D33" s="18"/>
      <c r="E33" s="18"/>
      <c r="F33" s="18"/>
      <c r="G33" s="18"/>
      <c r="H33" s="18"/>
      <c r="I33" s="18"/>
      <c r="J33" s="18"/>
      <c r="K33" s="18"/>
      <c r="L33" s="18"/>
      <c r="M33" s="19"/>
    </row>
    <row r="34" spans="1:20" ht="12.3">
      <c r="A34" s="7">
        <v>33</v>
      </c>
      <c r="B34" s="15"/>
      <c r="C34" s="18"/>
      <c r="D34" s="18"/>
      <c r="E34" s="18"/>
      <c r="F34" s="18"/>
      <c r="G34" s="18"/>
      <c r="H34" s="18"/>
      <c r="I34" s="18"/>
      <c r="J34" s="18"/>
      <c r="K34" s="18"/>
      <c r="L34" s="18"/>
      <c r="M34" s="19"/>
    </row>
    <row r="35" spans="1:20" ht="12.3">
      <c r="A35" s="7">
        <v>34</v>
      </c>
      <c r="B35" s="15"/>
      <c r="C35" s="18"/>
      <c r="D35" s="18"/>
      <c r="E35" s="18"/>
      <c r="F35" s="18"/>
      <c r="G35" s="18"/>
      <c r="H35" s="18"/>
      <c r="I35" s="18"/>
      <c r="J35" s="18"/>
      <c r="K35" s="18"/>
      <c r="L35" s="18"/>
      <c r="M35" s="19"/>
    </row>
    <row r="36" spans="1:20" ht="12.3">
      <c r="A36" s="7">
        <v>35</v>
      </c>
      <c r="B36" s="15"/>
      <c r="C36" s="18"/>
      <c r="D36" s="18"/>
      <c r="E36" s="18"/>
      <c r="F36" s="18"/>
      <c r="G36" s="18"/>
      <c r="H36" s="18"/>
      <c r="I36" s="18"/>
      <c r="J36" s="18"/>
      <c r="K36" s="18"/>
      <c r="L36" s="18"/>
      <c r="M36" s="19"/>
    </row>
    <row r="37" spans="1:20" ht="12.3">
      <c r="A37" s="7">
        <v>36</v>
      </c>
      <c r="B37" s="15"/>
      <c r="C37" s="18"/>
      <c r="D37" s="18"/>
      <c r="E37" s="18"/>
      <c r="F37" s="18"/>
      <c r="G37" s="18"/>
      <c r="H37" s="18"/>
      <c r="I37" s="18"/>
      <c r="J37" s="18"/>
      <c r="K37" s="18"/>
      <c r="L37" s="18"/>
      <c r="M37" s="19"/>
    </row>
    <row r="38" spans="1:20" ht="12.3">
      <c r="A38" s="4"/>
      <c r="B38" s="6"/>
      <c r="C38" s="11"/>
      <c r="D38" s="11"/>
      <c r="E38" s="11"/>
      <c r="F38" s="30"/>
      <c r="G38" s="30"/>
      <c r="H38" s="30">
        <f>SUM(H1:H37)</f>
        <v>1837.59</v>
      </c>
      <c r="I38" s="11"/>
      <c r="J38" s="11"/>
      <c r="K38" s="11"/>
      <c r="L38" s="11"/>
      <c r="M38" s="4"/>
      <c r="S38" s="30">
        <f t="shared" ref="S38:T38" si="2">SUM(S1:S37)</f>
        <v>35</v>
      </c>
      <c r="T38" s="30">
        <f t="shared" si="2"/>
        <v>61.225000000000009</v>
      </c>
    </row>
  </sheetData>
  <mergeCells count="1">
    <mergeCell ref="E8:E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AA999"/>
  <sheetViews>
    <sheetView workbookViewId="0">
      <pane ySplit="1" topLeftCell="A2" activePane="bottomLeft" state="frozen"/>
      <selection pane="bottomLeft" activeCell="D28" sqref="D28"/>
    </sheetView>
  </sheetViews>
  <sheetFormatPr defaultColWidth="12.609375" defaultRowHeight="15" customHeight="1"/>
  <cols>
    <col min="1" max="1" width="3.609375" customWidth="1"/>
    <col min="2" max="3" width="12.609375" customWidth="1"/>
    <col min="4" max="4" width="18.38671875" customWidth="1"/>
    <col min="5" max="5" width="15.71875" customWidth="1"/>
    <col min="6" max="6" width="16.5" customWidth="1"/>
    <col min="7" max="8" width="15.38671875" customWidth="1"/>
    <col min="13" max="13" width="40.88671875" customWidth="1"/>
  </cols>
  <sheetData>
    <row r="1" spans="1:27" ht="15.75" customHeight="1">
      <c r="A1" s="4"/>
      <c r="B1" s="12" t="s">
        <v>29</v>
      </c>
      <c r="C1" s="8" t="s">
        <v>37</v>
      </c>
      <c r="D1" s="8" t="s">
        <v>36</v>
      </c>
      <c r="E1" s="13" t="s">
        <v>175</v>
      </c>
      <c r="F1" s="8" t="s">
        <v>176</v>
      </c>
      <c r="G1" s="13" t="s">
        <v>177</v>
      </c>
      <c r="H1" s="13" t="s">
        <v>178</v>
      </c>
      <c r="I1" s="13" t="s">
        <v>38</v>
      </c>
      <c r="J1" s="13" t="s">
        <v>32</v>
      </c>
      <c r="K1" s="13" t="s">
        <v>33</v>
      </c>
      <c r="L1" s="13" t="s">
        <v>34</v>
      </c>
      <c r="M1" s="14" t="s">
        <v>35</v>
      </c>
    </row>
    <row r="2" spans="1:27" ht="15.75" customHeight="1">
      <c r="A2" s="7">
        <v>1</v>
      </c>
      <c r="B2" s="15">
        <v>45987</v>
      </c>
      <c r="C2" s="16"/>
      <c r="D2" s="18" t="str">
        <f>'112225'!D2</f>
        <v>RALPH BAKER 1</v>
      </c>
      <c r="E2" s="18">
        <v>1</v>
      </c>
      <c r="F2" s="24">
        <v>4</v>
      </c>
      <c r="G2" s="18">
        <v>0</v>
      </c>
      <c r="H2" s="18">
        <v>24</v>
      </c>
      <c r="I2" s="18">
        <v>30</v>
      </c>
      <c r="J2" s="18">
        <v>120</v>
      </c>
      <c r="K2" s="18"/>
      <c r="L2" s="18">
        <v>32</v>
      </c>
      <c r="M2" s="19" t="s">
        <v>39</v>
      </c>
    </row>
    <row r="3" spans="1:27" ht="15.75" customHeight="1">
      <c r="A3" s="20">
        <v>2</v>
      </c>
      <c r="B3" s="15">
        <v>45987</v>
      </c>
      <c r="C3" s="21"/>
      <c r="D3" s="18" t="str">
        <f>'112225'!D3</f>
        <v>SALLY 1-12H</v>
      </c>
      <c r="E3" s="23">
        <v>1</v>
      </c>
      <c r="F3" s="24">
        <v>2</v>
      </c>
      <c r="G3" s="24">
        <v>6</v>
      </c>
      <c r="H3" s="24">
        <v>157</v>
      </c>
      <c r="I3" s="24">
        <v>159</v>
      </c>
      <c r="J3" s="24">
        <v>100</v>
      </c>
      <c r="K3" s="24">
        <v>30</v>
      </c>
      <c r="L3" s="24">
        <v>36</v>
      </c>
      <c r="M3" s="25" t="s">
        <v>39</v>
      </c>
      <c r="N3" s="26"/>
      <c r="O3" s="26"/>
      <c r="P3" s="26"/>
      <c r="Q3" s="26"/>
      <c r="R3" s="26"/>
      <c r="S3" s="26"/>
      <c r="T3" s="26"/>
      <c r="U3" s="26"/>
      <c r="V3" s="26"/>
      <c r="W3" s="26"/>
      <c r="X3" s="26"/>
      <c r="Y3" s="26"/>
      <c r="Z3" s="26"/>
      <c r="AA3" s="26"/>
    </row>
    <row r="4" spans="1:27" ht="15.75" customHeight="1">
      <c r="A4" s="20">
        <v>3</v>
      </c>
      <c r="B4" s="15">
        <v>45987</v>
      </c>
      <c r="C4" s="21"/>
      <c r="D4" s="18" t="str">
        <f>'112225'!D4</f>
        <v>ANITA 1-13H</v>
      </c>
      <c r="E4" s="24">
        <v>2</v>
      </c>
      <c r="F4" s="24">
        <v>1</v>
      </c>
      <c r="G4" s="24">
        <v>0</v>
      </c>
      <c r="H4" s="24">
        <v>85</v>
      </c>
      <c r="I4" s="24">
        <v>88</v>
      </c>
      <c r="J4" s="24">
        <v>200</v>
      </c>
      <c r="K4" s="24">
        <v>50</v>
      </c>
      <c r="L4" s="24">
        <v>43</v>
      </c>
      <c r="M4" s="27" t="s">
        <v>39</v>
      </c>
      <c r="N4" s="26"/>
      <c r="O4" s="26"/>
      <c r="P4" s="26"/>
      <c r="Q4" s="26"/>
      <c r="R4" s="26"/>
      <c r="S4" s="26"/>
      <c r="T4" s="26"/>
      <c r="U4" s="26"/>
      <c r="V4" s="26"/>
      <c r="W4" s="26"/>
      <c r="X4" s="26"/>
      <c r="Y4" s="26"/>
      <c r="Z4" s="26"/>
      <c r="AA4" s="26"/>
    </row>
    <row r="5" spans="1:27" ht="15.75" customHeight="1">
      <c r="A5" s="7">
        <v>4</v>
      </c>
      <c r="B5" s="15">
        <v>45987</v>
      </c>
      <c r="C5" s="16"/>
      <c r="D5" s="18" t="str">
        <f>'112225'!D5</f>
        <v>ARIANA 1-18H</v>
      </c>
      <c r="E5" s="18">
        <v>1</v>
      </c>
      <c r="F5" s="18">
        <v>2</v>
      </c>
      <c r="G5" s="18">
        <v>3</v>
      </c>
      <c r="H5" s="18">
        <v>121</v>
      </c>
      <c r="I5" s="18">
        <v>130</v>
      </c>
      <c r="J5" s="18">
        <v>150</v>
      </c>
      <c r="K5" s="18">
        <v>30</v>
      </c>
      <c r="L5" s="18">
        <v>42</v>
      </c>
      <c r="M5" s="19" t="s">
        <v>39</v>
      </c>
    </row>
    <row r="6" spans="1:27" ht="15.75" customHeight="1">
      <c r="A6" s="7">
        <v>5</v>
      </c>
      <c r="B6" s="15">
        <v>45987</v>
      </c>
      <c r="C6" s="16"/>
      <c r="D6" s="18" t="str">
        <f>'112225'!D6</f>
        <v>CLAY 1-6H</v>
      </c>
      <c r="E6" s="18">
        <v>1</v>
      </c>
      <c r="F6" s="18">
        <v>2</v>
      </c>
      <c r="G6" s="18">
        <v>11</v>
      </c>
      <c r="H6" s="18">
        <v>230</v>
      </c>
      <c r="I6" s="18">
        <v>225</v>
      </c>
      <c r="J6" s="18">
        <v>150</v>
      </c>
      <c r="K6" s="18">
        <v>30</v>
      </c>
      <c r="L6" s="18">
        <v>37</v>
      </c>
      <c r="M6" s="19" t="s">
        <v>39</v>
      </c>
    </row>
    <row r="7" spans="1:27" ht="14.25" customHeight="1">
      <c r="A7" s="7">
        <v>6</v>
      </c>
      <c r="B7" s="15">
        <v>45987</v>
      </c>
      <c r="C7" s="16"/>
      <c r="D7" s="18" t="str">
        <f>'112225'!D7</f>
        <v>ARIANA 1-7H</v>
      </c>
      <c r="E7" s="18">
        <v>1</v>
      </c>
      <c r="F7" s="18">
        <v>2</v>
      </c>
      <c r="G7" s="18">
        <v>0</v>
      </c>
      <c r="H7" s="18">
        <v>181</v>
      </c>
      <c r="I7" s="18">
        <v>199</v>
      </c>
      <c r="J7" s="18">
        <v>80</v>
      </c>
      <c r="K7" s="18">
        <v>50</v>
      </c>
      <c r="L7" s="18">
        <v>37</v>
      </c>
      <c r="M7" s="19" t="s">
        <v>39</v>
      </c>
    </row>
    <row r="8" spans="1:27" ht="25.5" customHeight="1">
      <c r="A8" s="7">
        <v>7</v>
      </c>
      <c r="B8" s="15">
        <v>45987</v>
      </c>
      <c r="C8" s="16"/>
      <c r="D8" s="18" t="str">
        <f>'112225'!D8</f>
        <v>PEPPER 3-4H</v>
      </c>
      <c r="E8" s="49">
        <v>1</v>
      </c>
      <c r="F8" s="18">
        <v>1</v>
      </c>
      <c r="G8" s="18">
        <v>11</v>
      </c>
      <c r="H8" s="18">
        <v>36</v>
      </c>
      <c r="I8" s="18">
        <v>42</v>
      </c>
      <c r="J8" s="18">
        <v>0</v>
      </c>
      <c r="K8" s="18">
        <v>20</v>
      </c>
      <c r="L8" s="18">
        <v>31</v>
      </c>
      <c r="M8" s="28" t="s">
        <v>70</v>
      </c>
    </row>
    <row r="9" spans="1:27" ht="18.75" customHeight="1">
      <c r="A9" s="7">
        <v>8</v>
      </c>
      <c r="B9" s="15">
        <v>45987</v>
      </c>
      <c r="C9" s="16"/>
      <c r="D9" s="18" t="str">
        <f>'112225'!D9</f>
        <v>PEPPER 4-4H</v>
      </c>
      <c r="E9" s="50"/>
      <c r="F9" s="18"/>
      <c r="G9" s="18"/>
      <c r="H9" s="18">
        <v>50</v>
      </c>
      <c r="I9" s="18">
        <v>0</v>
      </c>
      <c r="J9" s="18">
        <v>50</v>
      </c>
      <c r="K9" s="18">
        <v>20</v>
      </c>
      <c r="L9" s="18">
        <v>31</v>
      </c>
      <c r="M9" s="19" t="s">
        <v>39</v>
      </c>
    </row>
    <row r="10" spans="1:27" ht="15.75" customHeight="1">
      <c r="A10" s="20">
        <v>9</v>
      </c>
      <c r="B10" s="15">
        <v>45987</v>
      </c>
      <c r="C10" s="21"/>
      <c r="D10" s="18" t="str">
        <f>'112225'!D10</f>
        <v>BIRD 3319 1-6</v>
      </c>
      <c r="E10" s="23">
        <v>1</v>
      </c>
      <c r="F10" s="24">
        <v>1</v>
      </c>
      <c r="G10" s="24">
        <v>7</v>
      </c>
      <c r="H10" s="24">
        <v>0</v>
      </c>
      <c r="I10" s="24">
        <v>0</v>
      </c>
      <c r="J10" s="24">
        <v>150</v>
      </c>
      <c r="K10" s="24">
        <v>30</v>
      </c>
      <c r="L10" s="24">
        <v>34</v>
      </c>
      <c r="M10" s="19" t="s">
        <v>39</v>
      </c>
      <c r="N10" s="26"/>
      <c r="O10" s="26"/>
      <c r="P10" s="26"/>
      <c r="Q10" s="26"/>
      <c r="R10" s="26"/>
      <c r="S10" s="26"/>
      <c r="T10" s="26"/>
      <c r="U10" s="26"/>
      <c r="V10" s="26"/>
      <c r="W10" s="26"/>
      <c r="X10" s="26"/>
      <c r="Y10" s="26"/>
      <c r="Z10" s="26"/>
      <c r="AA10" s="26"/>
    </row>
    <row r="11" spans="1:27" ht="15.75" customHeight="1">
      <c r="A11" s="7">
        <v>10</v>
      </c>
      <c r="B11" s="15">
        <v>45987</v>
      </c>
      <c r="C11" s="16"/>
      <c r="D11" s="18" t="str">
        <f>'112225'!D11</f>
        <v>BIRD 3319 3-6</v>
      </c>
      <c r="E11" s="18"/>
      <c r="F11" s="18"/>
      <c r="G11" s="18"/>
      <c r="H11" s="18">
        <v>36</v>
      </c>
      <c r="I11" s="18">
        <v>120</v>
      </c>
      <c r="J11" s="18"/>
      <c r="K11" s="18"/>
      <c r="L11" s="18">
        <v>35</v>
      </c>
      <c r="M11" s="19" t="s">
        <v>71</v>
      </c>
    </row>
    <row r="12" spans="1:27" ht="15.75" customHeight="1">
      <c r="A12" s="7">
        <v>11</v>
      </c>
      <c r="B12" s="15">
        <v>45987</v>
      </c>
      <c r="C12" s="16"/>
      <c r="D12" s="18" t="str">
        <f>'112225'!D12</f>
        <v>JELLISON A 11-5</v>
      </c>
      <c r="E12" s="18">
        <v>1</v>
      </c>
      <c r="F12" s="18">
        <v>1</v>
      </c>
      <c r="G12" s="18">
        <v>8</v>
      </c>
      <c r="H12" s="18">
        <v>8</v>
      </c>
      <c r="I12" s="18"/>
      <c r="J12" s="18">
        <v>100</v>
      </c>
      <c r="K12" s="18">
        <v>50</v>
      </c>
      <c r="L12" s="18"/>
      <c r="M12" s="4" t="s">
        <v>39</v>
      </c>
    </row>
    <row r="13" spans="1:27" ht="15.75" customHeight="1">
      <c r="A13" s="20">
        <v>12</v>
      </c>
      <c r="B13" s="15">
        <v>45987</v>
      </c>
      <c r="C13" s="21"/>
      <c r="D13" s="18" t="str">
        <f>'112225'!D13</f>
        <v>ROCK 3319 1-16H</v>
      </c>
      <c r="E13" s="24">
        <v>1</v>
      </c>
      <c r="F13" s="24">
        <v>2</v>
      </c>
      <c r="G13" s="24">
        <v>2</v>
      </c>
      <c r="H13" s="24">
        <v>115</v>
      </c>
      <c r="I13" s="24">
        <v>121</v>
      </c>
      <c r="J13" s="24">
        <v>120</v>
      </c>
      <c r="K13" s="24">
        <v>2</v>
      </c>
      <c r="L13" s="24">
        <v>31</v>
      </c>
      <c r="M13" s="27" t="s">
        <v>39</v>
      </c>
      <c r="N13" s="26"/>
      <c r="O13" s="26"/>
      <c r="P13" s="26"/>
      <c r="Q13" s="26"/>
      <c r="R13" s="26"/>
      <c r="S13" s="26"/>
      <c r="T13" s="26"/>
      <c r="U13" s="26"/>
      <c r="V13" s="26"/>
      <c r="W13" s="26"/>
      <c r="X13" s="26"/>
      <c r="Y13" s="26"/>
      <c r="Z13" s="26"/>
      <c r="AA13" s="26"/>
    </row>
    <row r="14" spans="1:27" ht="15.75" customHeight="1">
      <c r="A14" s="7">
        <v>13</v>
      </c>
      <c r="B14" s="15">
        <v>45987</v>
      </c>
      <c r="C14" s="16"/>
      <c r="D14" s="18" t="str">
        <f>'112225'!D14</f>
        <v>Dixie 3120 1‐25 SWD</v>
      </c>
      <c r="E14" s="18"/>
      <c r="F14" s="18"/>
      <c r="G14" s="18"/>
      <c r="H14" s="18"/>
      <c r="I14" s="18"/>
      <c r="J14" s="18"/>
      <c r="K14" s="18"/>
      <c r="L14" s="18"/>
      <c r="M14" s="19">
        <v>5619142</v>
      </c>
    </row>
    <row r="15" spans="1:27" ht="15.75" customHeight="1">
      <c r="A15" s="7">
        <v>14</v>
      </c>
      <c r="B15" s="15">
        <v>45987</v>
      </c>
      <c r="C15" s="16"/>
      <c r="D15" s="18" t="str">
        <f>'112225'!D15</f>
        <v>GARLAND 1-26H</v>
      </c>
      <c r="E15" s="18">
        <v>1</v>
      </c>
      <c r="F15" s="18">
        <v>3</v>
      </c>
      <c r="G15" s="18">
        <v>1.5</v>
      </c>
      <c r="H15" s="18">
        <v>71</v>
      </c>
      <c r="I15" s="18">
        <v>0</v>
      </c>
      <c r="J15" s="18">
        <v>1.9</v>
      </c>
      <c r="K15" s="18">
        <v>1.2</v>
      </c>
      <c r="L15" s="18">
        <v>68</v>
      </c>
      <c r="M15" s="28" t="s">
        <v>72</v>
      </c>
    </row>
    <row r="16" spans="1:27" ht="15.75" customHeight="1">
      <c r="A16" s="7">
        <v>15</v>
      </c>
      <c r="B16" s="15">
        <v>45987</v>
      </c>
      <c r="C16" s="16"/>
      <c r="D16" s="18" t="str">
        <f>'112225'!D16</f>
        <v>PTL 1-15H</v>
      </c>
      <c r="E16" s="18">
        <v>1</v>
      </c>
      <c r="F16" s="18">
        <v>6</v>
      </c>
      <c r="G16" s="18">
        <v>10</v>
      </c>
      <c r="H16" s="18">
        <v>55</v>
      </c>
      <c r="I16" s="18">
        <v>50</v>
      </c>
      <c r="J16" s="18"/>
      <c r="K16" s="18"/>
      <c r="L16" s="18">
        <v>51</v>
      </c>
      <c r="M16" s="19" t="s">
        <v>39</v>
      </c>
    </row>
    <row r="17" spans="1:27" ht="15.75" customHeight="1">
      <c r="A17" s="7">
        <v>16</v>
      </c>
      <c r="B17" s="15">
        <v>45987</v>
      </c>
      <c r="C17" s="16"/>
      <c r="D17" s="18" t="str">
        <f>'112225'!D17</f>
        <v>GABRIEL 2-12H</v>
      </c>
      <c r="E17" s="18">
        <v>2</v>
      </c>
      <c r="F17" s="18">
        <v>8</v>
      </c>
      <c r="G17" s="18">
        <v>6</v>
      </c>
      <c r="H17" s="18">
        <v>47</v>
      </c>
      <c r="I17" s="18">
        <v>0</v>
      </c>
      <c r="J17" s="18">
        <v>200</v>
      </c>
      <c r="K17" s="18">
        <v>50</v>
      </c>
      <c r="L17" s="18">
        <v>57</v>
      </c>
      <c r="M17" s="19" t="s">
        <v>39</v>
      </c>
    </row>
    <row r="18" spans="1:27" ht="15.75" customHeight="1">
      <c r="A18" s="7">
        <v>17</v>
      </c>
      <c r="B18" s="15">
        <v>45987</v>
      </c>
      <c r="C18" s="16"/>
      <c r="D18" s="18" t="str">
        <f>'112225'!D18</f>
        <v>GABRIEL 1-12H</v>
      </c>
      <c r="E18" s="18">
        <v>2</v>
      </c>
      <c r="F18" s="18">
        <v>3</v>
      </c>
      <c r="G18" s="18">
        <v>8</v>
      </c>
      <c r="H18" s="18">
        <v>42</v>
      </c>
      <c r="I18" s="18">
        <v>34</v>
      </c>
      <c r="J18" s="18">
        <v>100</v>
      </c>
      <c r="K18" s="18">
        <v>50</v>
      </c>
      <c r="L18" s="18">
        <v>54</v>
      </c>
      <c r="M18" s="19" t="s">
        <v>39</v>
      </c>
    </row>
    <row r="19" spans="1:27" ht="15.75" customHeight="1">
      <c r="A19" s="7">
        <v>18</v>
      </c>
      <c r="B19" s="15">
        <v>45987</v>
      </c>
      <c r="C19" s="16"/>
      <c r="D19" s="18" t="str">
        <f>'112225'!D19</f>
        <v>SEAN 1-18H</v>
      </c>
      <c r="E19" s="18">
        <v>1</v>
      </c>
      <c r="F19" s="18">
        <v>7</v>
      </c>
      <c r="G19" s="18">
        <v>10</v>
      </c>
      <c r="H19" s="18">
        <v>55</v>
      </c>
      <c r="I19" s="18">
        <v>72</v>
      </c>
      <c r="J19" s="18">
        <v>150</v>
      </c>
      <c r="K19" s="18">
        <v>50</v>
      </c>
      <c r="L19" s="18">
        <v>54</v>
      </c>
      <c r="M19" s="19" t="s">
        <v>39</v>
      </c>
    </row>
    <row r="20" spans="1:27" ht="15.75" customHeight="1">
      <c r="A20" s="7">
        <v>19</v>
      </c>
      <c r="B20" s="15">
        <v>45987</v>
      </c>
      <c r="C20" s="16"/>
      <c r="D20" s="18" t="str">
        <f>'112225'!D20</f>
        <v>SEAN 3119 3-18H</v>
      </c>
      <c r="E20" s="18">
        <v>1</v>
      </c>
      <c r="F20" s="18">
        <v>2</v>
      </c>
      <c r="G20" s="18">
        <v>0</v>
      </c>
      <c r="H20" s="18">
        <v>28</v>
      </c>
      <c r="I20" s="18">
        <v>51</v>
      </c>
      <c r="J20" s="18">
        <v>100</v>
      </c>
      <c r="K20" s="18">
        <v>50</v>
      </c>
      <c r="L20" s="18">
        <v>51</v>
      </c>
      <c r="M20" s="19" t="s">
        <v>39</v>
      </c>
    </row>
    <row r="21" spans="1:27" ht="15.75" customHeight="1">
      <c r="A21" s="7">
        <v>20</v>
      </c>
      <c r="B21" s="15">
        <v>45987</v>
      </c>
      <c r="C21" s="16"/>
      <c r="D21" s="18" t="str">
        <f>'112225'!D21</f>
        <v>ELLIS 2-19H</v>
      </c>
      <c r="E21" s="18">
        <v>1</v>
      </c>
      <c r="F21" s="18">
        <v>5</v>
      </c>
      <c r="G21" s="18">
        <v>6</v>
      </c>
      <c r="H21" s="18">
        <v>87</v>
      </c>
      <c r="I21" s="18">
        <v>107</v>
      </c>
      <c r="J21" s="18">
        <v>150</v>
      </c>
      <c r="K21" s="18">
        <v>50</v>
      </c>
      <c r="L21" s="18">
        <v>57</v>
      </c>
      <c r="M21" s="19" t="s">
        <v>39</v>
      </c>
    </row>
    <row r="22" spans="1:27" ht="15.75" customHeight="1">
      <c r="A22" s="7">
        <v>21</v>
      </c>
      <c r="B22" s="15">
        <v>45987</v>
      </c>
      <c r="C22" s="16"/>
      <c r="D22" s="18" t="str">
        <f>'112225'!D22</f>
        <v>BROTHERS 1-6H</v>
      </c>
      <c r="E22" s="18">
        <v>1</v>
      </c>
      <c r="F22" s="18">
        <v>4</v>
      </c>
      <c r="G22" s="18">
        <v>6</v>
      </c>
      <c r="H22" s="18">
        <v>0</v>
      </c>
      <c r="I22" s="18">
        <v>0</v>
      </c>
      <c r="J22" s="18">
        <v>100</v>
      </c>
      <c r="K22" s="18">
        <v>50</v>
      </c>
      <c r="L22" s="18">
        <v>64</v>
      </c>
      <c r="M22" s="28" t="s">
        <v>73</v>
      </c>
    </row>
    <row r="23" spans="1:27" ht="15.75" customHeight="1">
      <c r="A23" s="7">
        <v>22</v>
      </c>
      <c r="B23" s="15">
        <v>45987</v>
      </c>
      <c r="C23" s="16"/>
      <c r="D23" s="18" t="str">
        <f>'112225'!D23</f>
        <v>BROTHERS 2-6H</v>
      </c>
      <c r="E23" s="18">
        <v>1</v>
      </c>
      <c r="F23" s="18">
        <v>3</v>
      </c>
      <c r="G23" s="18">
        <v>2</v>
      </c>
      <c r="H23" s="18">
        <v>103</v>
      </c>
      <c r="I23" s="18">
        <v>116</v>
      </c>
      <c r="J23" s="18"/>
      <c r="K23" s="18"/>
      <c r="L23" s="18">
        <v>35</v>
      </c>
      <c r="M23" s="19"/>
    </row>
    <row r="24" spans="1:27" ht="15.75" customHeight="1">
      <c r="A24" s="20">
        <v>23</v>
      </c>
      <c r="B24" s="15">
        <v>45987</v>
      </c>
      <c r="C24" s="21"/>
      <c r="D24" s="18" t="str">
        <f>'112225'!D24</f>
        <v>SARAH 1-34H</v>
      </c>
      <c r="E24" s="23">
        <v>1</v>
      </c>
      <c r="F24" s="24">
        <v>5</v>
      </c>
      <c r="G24" s="24">
        <v>0</v>
      </c>
      <c r="H24" s="24">
        <v>76</v>
      </c>
      <c r="I24" s="24">
        <v>26</v>
      </c>
      <c r="J24" s="24"/>
      <c r="K24" s="24"/>
      <c r="L24" s="24">
        <v>50</v>
      </c>
      <c r="M24" s="27"/>
      <c r="N24" s="32"/>
      <c r="O24" s="26"/>
      <c r="P24" s="26"/>
      <c r="Q24" s="26"/>
      <c r="R24" s="26"/>
      <c r="S24" s="26"/>
      <c r="T24" s="26"/>
      <c r="U24" s="26"/>
      <c r="V24" s="26"/>
      <c r="W24" s="26"/>
      <c r="X24" s="26"/>
      <c r="Y24" s="26"/>
      <c r="Z24" s="26"/>
      <c r="AA24" s="26"/>
    </row>
    <row r="25" spans="1:27" ht="15.75" customHeight="1">
      <c r="A25" s="20">
        <v>24</v>
      </c>
      <c r="B25" s="15">
        <v>45987</v>
      </c>
      <c r="C25" s="21"/>
      <c r="D25" s="18" t="str">
        <f>'112225'!D25</f>
        <v>SARAH 2-34H</v>
      </c>
      <c r="E25" s="23">
        <v>1</v>
      </c>
      <c r="F25" s="24">
        <v>4</v>
      </c>
      <c r="G25" s="24">
        <v>0</v>
      </c>
      <c r="H25" s="24">
        <v>41</v>
      </c>
      <c r="I25" s="24">
        <v>20</v>
      </c>
      <c r="J25" s="24"/>
      <c r="K25" s="24"/>
      <c r="L25" s="24">
        <v>51</v>
      </c>
      <c r="M25" s="27" t="s">
        <v>74</v>
      </c>
      <c r="N25" s="32"/>
      <c r="O25" s="26"/>
      <c r="P25" s="26"/>
      <c r="Q25" s="26"/>
      <c r="R25" s="26"/>
      <c r="S25" s="26"/>
      <c r="T25" s="26"/>
      <c r="U25" s="26"/>
      <c r="V25" s="26"/>
      <c r="W25" s="26"/>
      <c r="X25" s="26"/>
      <c r="Y25" s="26"/>
      <c r="Z25" s="26"/>
      <c r="AA25" s="26"/>
    </row>
    <row r="26" spans="1:27" ht="15.75" customHeight="1">
      <c r="A26" s="7">
        <v>25</v>
      </c>
      <c r="B26" s="15">
        <v>45987</v>
      </c>
      <c r="C26" s="16"/>
      <c r="D26" s="18" t="str">
        <f>'112225'!D26</f>
        <v>WANDA 1-2H 1L</v>
      </c>
      <c r="E26" s="5">
        <v>1</v>
      </c>
      <c r="F26" s="18">
        <v>4</v>
      </c>
      <c r="G26" s="18">
        <v>3</v>
      </c>
      <c r="H26" s="18">
        <v>227</v>
      </c>
      <c r="I26" s="18">
        <v>255</v>
      </c>
      <c r="J26" s="18"/>
      <c r="K26" s="18"/>
      <c r="L26" s="18"/>
      <c r="M26" s="28" t="s">
        <v>75</v>
      </c>
    </row>
    <row r="27" spans="1:27" ht="15.75" customHeight="1">
      <c r="A27" s="7">
        <v>26</v>
      </c>
      <c r="B27" s="15"/>
      <c r="C27" s="29"/>
      <c r="D27" s="18" t="str">
        <f>'112225'!D27</f>
        <v>Yankee 3317 1-27 SWD</v>
      </c>
      <c r="E27" s="18"/>
      <c r="F27" s="18"/>
      <c r="G27" s="18"/>
      <c r="H27" s="18"/>
      <c r="I27" s="18"/>
      <c r="J27" s="18"/>
      <c r="K27" s="18"/>
      <c r="L27" s="18"/>
      <c r="M27" s="19">
        <v>7760888</v>
      </c>
    </row>
    <row r="28" spans="1:27" ht="15.75" customHeight="1">
      <c r="A28" s="7">
        <v>27</v>
      </c>
      <c r="B28" s="15">
        <v>45987</v>
      </c>
      <c r="C28" s="18"/>
      <c r="D28" s="18" t="s">
        <v>179</v>
      </c>
      <c r="E28" s="18"/>
      <c r="F28" s="18"/>
      <c r="G28" s="18"/>
      <c r="H28" s="18">
        <v>11</v>
      </c>
      <c r="I28" s="18"/>
      <c r="J28" s="18">
        <v>13</v>
      </c>
      <c r="K28" s="18">
        <v>13</v>
      </c>
      <c r="L28" s="18">
        <v>39</v>
      </c>
      <c r="M28" s="19" t="s">
        <v>76</v>
      </c>
    </row>
    <row r="29" spans="1:27" ht="15.75" customHeight="1">
      <c r="A29" s="7">
        <v>28</v>
      </c>
      <c r="B29" s="15"/>
      <c r="C29" s="18"/>
      <c r="D29" s="18" t="s">
        <v>77</v>
      </c>
      <c r="E29" s="18"/>
      <c r="F29" s="18"/>
      <c r="G29" s="18"/>
      <c r="H29" s="18"/>
      <c r="I29" s="18"/>
      <c r="J29" s="18"/>
      <c r="K29" s="18"/>
      <c r="L29" s="18"/>
      <c r="M29" s="28" t="s">
        <v>78</v>
      </c>
    </row>
    <row r="30" spans="1:27" ht="15.75" customHeight="1">
      <c r="A30" s="7">
        <v>29</v>
      </c>
      <c r="B30" s="15"/>
      <c r="C30" s="18"/>
      <c r="D30" s="18"/>
      <c r="E30" s="18"/>
      <c r="F30" s="18"/>
      <c r="G30" s="18"/>
      <c r="H30" s="18"/>
      <c r="I30" s="18"/>
      <c r="J30" s="18"/>
      <c r="K30" s="18"/>
      <c r="L30" s="18"/>
      <c r="M30" s="19"/>
    </row>
    <row r="31" spans="1:27" ht="15.75" customHeight="1">
      <c r="A31" s="7">
        <v>30</v>
      </c>
      <c r="B31" s="15"/>
      <c r="C31" s="18"/>
      <c r="D31" s="18"/>
      <c r="E31" s="18"/>
      <c r="F31" s="18"/>
      <c r="G31" s="18"/>
      <c r="H31" s="18"/>
      <c r="I31" s="18"/>
      <c r="J31" s="18"/>
      <c r="K31" s="18"/>
      <c r="L31" s="18"/>
      <c r="M31" s="19"/>
    </row>
    <row r="32" spans="1:27" ht="15.75" customHeight="1">
      <c r="A32" s="7">
        <v>31</v>
      </c>
      <c r="B32" s="15"/>
      <c r="C32" s="18"/>
      <c r="D32" s="18"/>
      <c r="E32" s="18"/>
      <c r="F32" s="18"/>
      <c r="G32" s="18"/>
      <c r="H32" s="18"/>
      <c r="I32" s="18"/>
      <c r="J32" s="18"/>
      <c r="K32" s="18"/>
      <c r="L32" s="18"/>
      <c r="M32" s="19"/>
    </row>
    <row r="33" spans="1:13" ht="15.75" customHeight="1">
      <c r="A33" s="7">
        <v>32</v>
      </c>
      <c r="B33" s="15"/>
      <c r="C33" s="18"/>
      <c r="D33" s="18"/>
      <c r="E33" s="18"/>
      <c r="F33" s="18"/>
      <c r="G33" s="18"/>
      <c r="H33" s="18"/>
      <c r="I33" s="18"/>
      <c r="J33" s="18"/>
      <c r="K33" s="18"/>
      <c r="L33" s="18"/>
      <c r="M33" s="19"/>
    </row>
    <row r="34" spans="1:13" ht="15.75" customHeight="1">
      <c r="A34" s="7">
        <v>33</v>
      </c>
      <c r="B34" s="15"/>
      <c r="C34" s="18"/>
      <c r="D34" s="18"/>
      <c r="E34" s="18"/>
      <c r="F34" s="18"/>
      <c r="G34" s="18"/>
      <c r="H34" s="18"/>
      <c r="I34" s="18"/>
      <c r="J34" s="18"/>
      <c r="K34" s="18"/>
      <c r="L34" s="18"/>
      <c r="M34" s="19"/>
    </row>
    <row r="35" spans="1:13" ht="15.75" customHeight="1">
      <c r="A35" s="7">
        <v>34</v>
      </c>
      <c r="B35" s="15"/>
      <c r="C35" s="18"/>
      <c r="D35" s="18"/>
      <c r="E35" s="18"/>
      <c r="F35" s="18"/>
      <c r="G35" s="18"/>
      <c r="H35" s="18"/>
      <c r="I35" s="18"/>
      <c r="J35" s="18"/>
      <c r="K35" s="18"/>
      <c r="L35" s="18"/>
      <c r="M35" s="19"/>
    </row>
    <row r="36" spans="1:13" ht="15.75" customHeight="1">
      <c r="A36" s="7">
        <v>35</v>
      </c>
      <c r="B36" s="15"/>
      <c r="C36" s="18"/>
      <c r="D36" s="18"/>
      <c r="E36" s="18"/>
      <c r="F36" s="18"/>
      <c r="G36" s="18"/>
      <c r="H36" s="18"/>
      <c r="I36" s="18"/>
      <c r="J36" s="18"/>
      <c r="K36" s="18"/>
      <c r="L36" s="18"/>
      <c r="M36" s="19"/>
    </row>
    <row r="37" spans="1:13" ht="15.75" customHeight="1">
      <c r="A37" s="7">
        <v>36</v>
      </c>
      <c r="B37" s="15"/>
      <c r="C37" s="18"/>
      <c r="D37" s="18"/>
      <c r="E37" s="18"/>
      <c r="F37" s="18"/>
      <c r="G37" s="18"/>
      <c r="H37" s="18"/>
      <c r="I37" s="18"/>
      <c r="J37" s="18"/>
      <c r="K37" s="18"/>
      <c r="L37" s="18"/>
      <c r="M37" s="19"/>
    </row>
    <row r="38" spans="1:13" ht="15.75" customHeight="1">
      <c r="A38" s="4"/>
      <c r="B38" s="6"/>
      <c r="C38" s="11"/>
      <c r="D38" s="11"/>
      <c r="E38" s="11"/>
      <c r="F38" s="11"/>
      <c r="G38" s="30"/>
      <c r="H38" s="30">
        <f>SUM(H1:H37)</f>
        <v>1886</v>
      </c>
      <c r="I38" s="11"/>
      <c r="J38" s="11"/>
      <c r="K38" s="11"/>
      <c r="L38" s="11"/>
      <c r="M38" s="4"/>
    </row>
    <row r="39" spans="1:13" ht="15.75" customHeight="1">
      <c r="B39" s="11"/>
      <c r="C39" s="11"/>
      <c r="D39" s="11"/>
      <c r="E39" s="11"/>
      <c r="F39" s="11"/>
      <c r="G39" s="11"/>
      <c r="H39" s="11"/>
      <c r="I39" s="11"/>
      <c r="J39" s="11"/>
      <c r="K39" s="11"/>
      <c r="L39" s="11"/>
    </row>
    <row r="40" spans="1:13" ht="15.75" customHeight="1">
      <c r="B40" s="11"/>
      <c r="C40" s="11"/>
      <c r="D40" s="11"/>
      <c r="E40" s="11"/>
      <c r="F40" s="11"/>
      <c r="G40" s="11"/>
      <c r="H40" s="11"/>
      <c r="I40" s="11"/>
      <c r="J40" s="11"/>
      <c r="K40" s="11"/>
      <c r="L40" s="11"/>
    </row>
    <row r="41" spans="1:13" ht="15.75" customHeight="1">
      <c r="B41" s="11"/>
      <c r="C41" s="11"/>
      <c r="D41" s="11"/>
      <c r="E41" s="11"/>
      <c r="F41" s="11"/>
      <c r="G41" s="11"/>
      <c r="H41" s="11"/>
      <c r="I41" s="11"/>
      <c r="J41" s="11"/>
      <c r="K41" s="11"/>
      <c r="L41" s="11"/>
    </row>
    <row r="42" spans="1:13" ht="15.75" customHeight="1">
      <c r="B42" s="11"/>
      <c r="C42" s="11"/>
      <c r="D42" s="11"/>
      <c r="E42" s="11"/>
      <c r="F42" s="11"/>
      <c r="G42" s="11"/>
      <c r="H42" s="11"/>
      <c r="I42" s="11"/>
      <c r="J42" s="11"/>
      <c r="K42" s="11"/>
      <c r="L42" s="11"/>
    </row>
    <row r="43" spans="1:13" ht="15.75" customHeight="1">
      <c r="B43" s="11"/>
      <c r="C43" s="11"/>
      <c r="D43" s="11"/>
      <c r="E43" s="11"/>
      <c r="F43" s="11"/>
      <c r="G43" s="11"/>
      <c r="H43" s="11"/>
      <c r="I43" s="11"/>
      <c r="J43" s="11"/>
      <c r="K43" s="11"/>
      <c r="L43" s="11"/>
    </row>
    <row r="44" spans="1:13" ht="15.75" customHeight="1">
      <c r="B44" s="11"/>
      <c r="C44" s="11"/>
      <c r="D44" s="11"/>
      <c r="E44" s="11"/>
      <c r="F44" s="11"/>
      <c r="G44" s="11"/>
      <c r="H44" s="11"/>
      <c r="I44" s="11"/>
      <c r="J44" s="11"/>
      <c r="K44" s="11"/>
      <c r="L44" s="11"/>
    </row>
    <row r="45" spans="1:13" ht="15.75" customHeight="1">
      <c r="B45" s="11"/>
      <c r="C45" s="11"/>
      <c r="D45" s="11"/>
      <c r="E45" s="11"/>
      <c r="F45" s="11"/>
      <c r="G45" s="11"/>
      <c r="H45" s="11"/>
      <c r="I45" s="11"/>
      <c r="J45" s="11"/>
      <c r="K45" s="11"/>
      <c r="L45" s="11"/>
    </row>
    <row r="46" spans="1:13" ht="15.75" customHeight="1">
      <c r="B46" s="11"/>
      <c r="C46" s="11"/>
      <c r="D46" s="11"/>
      <c r="E46" s="11"/>
      <c r="F46" s="11"/>
      <c r="G46" s="11"/>
      <c r="H46" s="11"/>
      <c r="I46" s="11"/>
      <c r="J46" s="11"/>
      <c r="K46" s="11"/>
      <c r="L46" s="11"/>
    </row>
    <row r="47" spans="1:13" ht="15.75" customHeight="1">
      <c r="B47" s="11"/>
      <c r="C47" s="11"/>
      <c r="D47" s="11"/>
      <c r="E47" s="11"/>
      <c r="F47" s="11"/>
      <c r="G47" s="11"/>
      <c r="H47" s="11"/>
      <c r="I47" s="11"/>
      <c r="J47" s="11"/>
      <c r="K47" s="11"/>
      <c r="L47" s="11"/>
    </row>
    <row r="48" spans="1:13" ht="15.75" customHeight="1">
      <c r="B48" s="11"/>
      <c r="C48" s="11"/>
      <c r="D48" s="11"/>
      <c r="E48" s="11"/>
      <c r="F48" s="11"/>
      <c r="G48" s="11"/>
      <c r="H48" s="11"/>
      <c r="I48" s="11"/>
      <c r="J48" s="11"/>
      <c r="K48" s="11"/>
      <c r="L48" s="11"/>
    </row>
    <row r="49" spans="2:12" ht="15.75" customHeight="1">
      <c r="B49" s="11"/>
      <c r="C49" s="11"/>
      <c r="D49" s="11"/>
      <c r="E49" s="11"/>
      <c r="F49" s="11"/>
      <c r="G49" s="11"/>
      <c r="H49" s="11"/>
      <c r="I49" s="11"/>
      <c r="J49" s="11"/>
      <c r="K49" s="11"/>
      <c r="L49" s="11"/>
    </row>
    <row r="50" spans="2:12" ht="15.75" customHeight="1">
      <c r="B50" s="11"/>
      <c r="C50" s="11"/>
      <c r="D50" s="11"/>
      <c r="E50" s="11"/>
      <c r="F50" s="11"/>
      <c r="G50" s="11"/>
      <c r="H50" s="11"/>
      <c r="I50" s="11"/>
      <c r="J50" s="11"/>
      <c r="K50" s="11"/>
      <c r="L50" s="11"/>
    </row>
    <row r="51" spans="2:12" ht="15.75" customHeight="1">
      <c r="B51" s="11"/>
      <c r="C51" s="11"/>
      <c r="D51" s="11"/>
      <c r="E51" s="11"/>
      <c r="F51" s="11"/>
      <c r="G51" s="11"/>
      <c r="H51" s="11"/>
      <c r="I51" s="11"/>
      <c r="J51" s="11"/>
      <c r="K51" s="11"/>
      <c r="L51" s="11"/>
    </row>
    <row r="52" spans="2:12" ht="15.75" customHeight="1">
      <c r="B52" s="11"/>
      <c r="C52" s="11"/>
      <c r="D52" s="11"/>
      <c r="E52" s="11"/>
      <c r="F52" s="11"/>
      <c r="G52" s="11"/>
      <c r="H52" s="11"/>
      <c r="I52" s="11"/>
      <c r="J52" s="11"/>
      <c r="K52" s="11"/>
      <c r="L52" s="11"/>
    </row>
    <row r="53" spans="2:12" ht="15.75" customHeight="1">
      <c r="B53" s="11"/>
      <c r="C53" s="11"/>
      <c r="D53" s="11"/>
      <c r="E53" s="11"/>
      <c r="F53" s="11"/>
      <c r="G53" s="11"/>
      <c r="H53" s="11"/>
      <c r="I53" s="11"/>
      <c r="J53" s="11"/>
      <c r="K53" s="11"/>
      <c r="L53" s="11"/>
    </row>
    <row r="54" spans="2:12" ht="15.75" customHeight="1">
      <c r="B54" s="11"/>
      <c r="C54" s="11"/>
      <c r="D54" s="11"/>
      <c r="E54" s="11"/>
      <c r="F54" s="11"/>
      <c r="G54" s="11"/>
      <c r="H54" s="11"/>
      <c r="I54" s="11"/>
      <c r="J54" s="11"/>
      <c r="K54" s="11"/>
      <c r="L54" s="11"/>
    </row>
    <row r="55" spans="2:12" ht="15.75" customHeight="1">
      <c r="B55" s="11"/>
      <c r="C55" s="11"/>
      <c r="D55" s="11"/>
      <c r="E55" s="11"/>
      <c r="F55" s="11"/>
      <c r="G55" s="11"/>
      <c r="H55" s="11"/>
      <c r="I55" s="11"/>
      <c r="J55" s="11"/>
      <c r="K55" s="11"/>
      <c r="L55" s="11"/>
    </row>
    <row r="56" spans="2:12" ht="15.75" customHeight="1">
      <c r="B56" s="11"/>
      <c r="C56" s="11"/>
      <c r="D56" s="11"/>
      <c r="E56" s="11"/>
      <c r="F56" s="11"/>
      <c r="G56" s="11"/>
      <c r="H56" s="11"/>
      <c r="I56" s="11"/>
      <c r="J56" s="11"/>
      <c r="K56" s="11"/>
      <c r="L56" s="11"/>
    </row>
    <row r="57" spans="2:12" ht="15.75" customHeight="1">
      <c r="B57" s="11"/>
      <c r="C57" s="11"/>
      <c r="D57" s="11"/>
      <c r="E57" s="11"/>
      <c r="F57" s="11"/>
      <c r="G57" s="11"/>
      <c r="H57" s="11"/>
      <c r="I57" s="11"/>
      <c r="J57" s="11"/>
      <c r="K57" s="11"/>
      <c r="L57" s="11"/>
    </row>
    <row r="58" spans="2:12" ht="15.75" customHeight="1">
      <c r="B58" s="11"/>
      <c r="C58" s="11"/>
      <c r="D58" s="11"/>
      <c r="E58" s="11"/>
      <c r="F58" s="11"/>
      <c r="G58" s="11"/>
      <c r="H58" s="11"/>
      <c r="I58" s="11"/>
      <c r="J58" s="11"/>
      <c r="K58" s="11"/>
      <c r="L58" s="11"/>
    </row>
    <row r="59" spans="2:12" ht="15.75" customHeight="1">
      <c r="B59" s="11"/>
      <c r="C59" s="11"/>
      <c r="D59" s="11"/>
      <c r="E59" s="11"/>
      <c r="F59" s="11"/>
      <c r="G59" s="11"/>
      <c r="H59" s="11"/>
      <c r="I59" s="11"/>
      <c r="J59" s="11"/>
      <c r="K59" s="11"/>
      <c r="L59" s="11"/>
    </row>
    <row r="60" spans="2:12" ht="15.75" customHeight="1">
      <c r="B60" s="11"/>
      <c r="C60" s="11"/>
      <c r="D60" s="11"/>
      <c r="E60" s="11"/>
      <c r="F60" s="11"/>
      <c r="G60" s="11"/>
      <c r="H60" s="11"/>
      <c r="I60" s="11"/>
      <c r="J60" s="11"/>
      <c r="K60" s="11"/>
      <c r="L60" s="11"/>
    </row>
    <row r="61" spans="2:12" ht="15.75" customHeight="1">
      <c r="B61" s="11"/>
      <c r="C61" s="11"/>
      <c r="D61" s="11"/>
      <c r="E61" s="11"/>
      <c r="F61" s="11"/>
      <c r="G61" s="11"/>
      <c r="H61" s="11"/>
      <c r="I61" s="11"/>
      <c r="J61" s="11"/>
      <c r="K61" s="11"/>
      <c r="L61" s="11"/>
    </row>
    <row r="62" spans="2:12" ht="15.75" customHeight="1">
      <c r="B62" s="11"/>
      <c r="C62" s="11"/>
      <c r="D62" s="11"/>
      <c r="E62" s="11"/>
      <c r="F62" s="11"/>
      <c r="G62" s="11"/>
      <c r="H62" s="11"/>
      <c r="I62" s="11"/>
      <c r="J62" s="11"/>
      <c r="K62" s="11"/>
      <c r="L62" s="11"/>
    </row>
    <row r="63" spans="2:12" ht="15.75" customHeight="1">
      <c r="B63" s="11"/>
      <c r="C63" s="11"/>
      <c r="D63" s="11"/>
      <c r="E63" s="11"/>
      <c r="F63" s="11"/>
      <c r="G63" s="11"/>
      <c r="H63" s="11"/>
      <c r="I63" s="11"/>
      <c r="J63" s="11"/>
      <c r="K63" s="11"/>
      <c r="L63" s="11"/>
    </row>
    <row r="64" spans="2:12" ht="15.75" customHeight="1">
      <c r="B64" s="11"/>
      <c r="C64" s="11"/>
      <c r="D64" s="11"/>
      <c r="E64" s="11"/>
      <c r="F64" s="11"/>
      <c r="G64" s="11"/>
      <c r="H64" s="11"/>
      <c r="I64" s="11"/>
      <c r="J64" s="11"/>
      <c r="K64" s="11"/>
      <c r="L64" s="11"/>
    </row>
    <row r="65" spans="2:12" ht="15.75" customHeight="1">
      <c r="B65" s="11"/>
      <c r="C65" s="11"/>
      <c r="D65" s="11"/>
      <c r="E65" s="11"/>
      <c r="F65" s="11"/>
      <c r="G65" s="11"/>
      <c r="H65" s="11"/>
      <c r="I65" s="11"/>
      <c r="J65" s="11"/>
      <c r="K65" s="11"/>
      <c r="L65" s="11"/>
    </row>
    <row r="66" spans="2:12" ht="15.75" customHeight="1">
      <c r="B66" s="11"/>
      <c r="C66" s="11"/>
      <c r="D66" s="11"/>
      <c r="E66" s="11"/>
      <c r="F66" s="11"/>
      <c r="G66" s="11"/>
      <c r="H66" s="11"/>
      <c r="I66" s="11"/>
      <c r="J66" s="11"/>
      <c r="K66" s="11"/>
      <c r="L66" s="11"/>
    </row>
    <row r="67" spans="2:12" ht="15.75" customHeight="1">
      <c r="B67" s="11"/>
      <c r="C67" s="11"/>
      <c r="D67" s="11"/>
      <c r="E67" s="11"/>
      <c r="F67" s="11"/>
      <c r="G67" s="11"/>
      <c r="H67" s="11"/>
      <c r="I67" s="11"/>
      <c r="J67" s="11"/>
      <c r="K67" s="11"/>
      <c r="L67" s="11"/>
    </row>
    <row r="68" spans="2:12" ht="15.75" customHeight="1">
      <c r="B68" s="11"/>
      <c r="C68" s="11"/>
      <c r="D68" s="11"/>
      <c r="E68" s="11"/>
      <c r="F68" s="11"/>
      <c r="G68" s="11"/>
      <c r="H68" s="11"/>
      <c r="I68" s="11"/>
      <c r="J68" s="11"/>
      <c r="K68" s="11"/>
      <c r="L68" s="11"/>
    </row>
    <row r="69" spans="2:12" ht="15.75" customHeight="1">
      <c r="B69" s="11"/>
      <c r="C69" s="11"/>
      <c r="D69" s="11"/>
      <c r="E69" s="11"/>
      <c r="F69" s="11"/>
      <c r="G69" s="11"/>
      <c r="H69" s="11"/>
      <c r="I69" s="11"/>
      <c r="J69" s="11"/>
      <c r="K69" s="11"/>
      <c r="L69" s="11"/>
    </row>
    <row r="70" spans="2:12" ht="15.75" customHeight="1">
      <c r="B70" s="11"/>
      <c r="C70" s="11"/>
      <c r="D70" s="11"/>
      <c r="E70" s="11"/>
      <c r="F70" s="11"/>
      <c r="G70" s="11"/>
      <c r="H70" s="11"/>
      <c r="I70" s="11"/>
      <c r="J70" s="11"/>
      <c r="K70" s="11"/>
      <c r="L70" s="11"/>
    </row>
    <row r="71" spans="2:12" ht="15.75" customHeight="1">
      <c r="B71" s="11"/>
      <c r="C71" s="11"/>
      <c r="D71" s="11"/>
      <c r="E71" s="11"/>
      <c r="F71" s="11"/>
      <c r="G71" s="11"/>
      <c r="H71" s="11"/>
      <c r="I71" s="11"/>
      <c r="J71" s="11"/>
      <c r="K71" s="11"/>
      <c r="L71" s="11"/>
    </row>
    <row r="72" spans="2:12" ht="15.75" customHeight="1">
      <c r="B72" s="11"/>
      <c r="C72" s="11"/>
      <c r="D72" s="11"/>
      <c r="E72" s="11"/>
      <c r="F72" s="11"/>
      <c r="G72" s="11"/>
      <c r="H72" s="11"/>
      <c r="I72" s="11"/>
      <c r="J72" s="11"/>
      <c r="K72" s="11"/>
      <c r="L72" s="11"/>
    </row>
    <row r="73" spans="2:12" ht="15.75" customHeight="1">
      <c r="B73" s="11"/>
      <c r="C73" s="11"/>
      <c r="D73" s="11"/>
      <c r="E73" s="11"/>
      <c r="F73" s="11"/>
      <c r="G73" s="11"/>
      <c r="H73" s="11"/>
      <c r="I73" s="11"/>
      <c r="J73" s="11"/>
      <c r="K73" s="11"/>
      <c r="L73" s="11"/>
    </row>
    <row r="74" spans="2:12" ht="15.75" customHeight="1">
      <c r="B74" s="11"/>
      <c r="C74" s="11"/>
      <c r="D74" s="11"/>
      <c r="E74" s="11"/>
      <c r="F74" s="11"/>
      <c r="G74" s="11"/>
      <c r="H74" s="11"/>
      <c r="I74" s="11"/>
      <c r="J74" s="11"/>
      <c r="K74" s="11"/>
      <c r="L74" s="11"/>
    </row>
    <row r="75" spans="2:12" ht="15.75" customHeight="1">
      <c r="B75" s="11"/>
      <c r="C75" s="11"/>
      <c r="D75" s="11"/>
      <c r="E75" s="11"/>
      <c r="F75" s="11"/>
      <c r="G75" s="11"/>
      <c r="H75" s="11"/>
      <c r="I75" s="11"/>
      <c r="J75" s="11"/>
      <c r="K75" s="11"/>
      <c r="L75" s="11"/>
    </row>
    <row r="76" spans="2:12" ht="15.75" customHeight="1">
      <c r="B76" s="11"/>
      <c r="C76" s="11"/>
      <c r="D76" s="11"/>
      <c r="E76" s="11"/>
      <c r="F76" s="11"/>
      <c r="G76" s="11"/>
      <c r="H76" s="11"/>
      <c r="I76" s="11"/>
      <c r="J76" s="11"/>
      <c r="K76" s="11"/>
      <c r="L76" s="11"/>
    </row>
    <row r="77" spans="2:12" ht="15.75" customHeight="1">
      <c r="B77" s="11"/>
      <c r="C77" s="11"/>
      <c r="D77" s="11"/>
      <c r="E77" s="11"/>
      <c r="F77" s="11"/>
      <c r="G77" s="11"/>
      <c r="H77" s="11"/>
      <c r="I77" s="11"/>
      <c r="J77" s="11"/>
      <c r="K77" s="11"/>
      <c r="L77" s="11"/>
    </row>
    <row r="78" spans="2:12" ht="15.75" customHeight="1">
      <c r="B78" s="11"/>
      <c r="C78" s="11"/>
      <c r="D78" s="11"/>
      <c r="E78" s="11"/>
      <c r="F78" s="11"/>
      <c r="G78" s="11"/>
      <c r="H78" s="11"/>
      <c r="I78" s="11"/>
      <c r="J78" s="11"/>
      <c r="K78" s="11"/>
      <c r="L78" s="11"/>
    </row>
    <row r="79" spans="2:12" ht="15.75" customHeight="1">
      <c r="B79" s="11"/>
      <c r="C79" s="11"/>
      <c r="D79" s="11"/>
      <c r="E79" s="11"/>
      <c r="F79" s="11"/>
      <c r="G79" s="11"/>
      <c r="H79" s="11"/>
      <c r="I79" s="11"/>
      <c r="J79" s="11"/>
      <c r="K79" s="11"/>
      <c r="L79" s="11"/>
    </row>
    <row r="80" spans="2:12" ht="15.75" customHeight="1">
      <c r="B80" s="11"/>
      <c r="C80" s="11"/>
      <c r="D80" s="11"/>
      <c r="E80" s="11"/>
      <c r="F80" s="11"/>
      <c r="G80" s="11"/>
      <c r="H80" s="11"/>
      <c r="I80" s="11"/>
      <c r="J80" s="11"/>
      <c r="K80" s="11"/>
      <c r="L80" s="11"/>
    </row>
    <row r="81" spans="2:12" ht="15.75" customHeight="1">
      <c r="B81" s="11"/>
      <c r="C81" s="11"/>
      <c r="D81" s="11"/>
      <c r="E81" s="11"/>
      <c r="F81" s="11"/>
      <c r="G81" s="11"/>
      <c r="H81" s="11"/>
      <c r="I81" s="11"/>
      <c r="J81" s="11"/>
      <c r="K81" s="11"/>
      <c r="L81" s="11"/>
    </row>
    <row r="82" spans="2:12" ht="15.75" customHeight="1">
      <c r="B82" s="11"/>
      <c r="C82" s="11"/>
      <c r="D82" s="11"/>
      <c r="E82" s="11"/>
      <c r="F82" s="11"/>
      <c r="G82" s="11"/>
      <c r="H82" s="11"/>
      <c r="I82" s="11"/>
      <c r="J82" s="11"/>
      <c r="K82" s="11"/>
      <c r="L82" s="11"/>
    </row>
    <row r="83" spans="2:12" ht="15.75" customHeight="1">
      <c r="B83" s="11"/>
      <c r="C83" s="11"/>
      <c r="D83" s="11"/>
      <c r="E83" s="11"/>
      <c r="F83" s="11"/>
      <c r="G83" s="11"/>
      <c r="H83" s="11"/>
      <c r="I83" s="11"/>
      <c r="J83" s="11"/>
      <c r="K83" s="11"/>
      <c r="L83" s="11"/>
    </row>
    <row r="84" spans="2:12" ht="15.75" customHeight="1">
      <c r="B84" s="11"/>
      <c r="C84" s="11"/>
      <c r="D84" s="11"/>
      <c r="E84" s="11"/>
      <c r="F84" s="11"/>
      <c r="G84" s="11"/>
      <c r="H84" s="11"/>
      <c r="I84" s="11"/>
      <c r="J84" s="11"/>
      <c r="K84" s="11"/>
      <c r="L84" s="11"/>
    </row>
    <row r="85" spans="2:12" ht="15.75" customHeight="1">
      <c r="B85" s="11"/>
      <c r="C85" s="11"/>
      <c r="D85" s="11"/>
      <c r="E85" s="11"/>
      <c r="F85" s="11"/>
      <c r="G85" s="11"/>
      <c r="H85" s="11"/>
      <c r="I85" s="11"/>
      <c r="J85" s="11"/>
      <c r="K85" s="11"/>
      <c r="L85" s="11"/>
    </row>
    <row r="86" spans="2:12" ht="15.75" customHeight="1">
      <c r="B86" s="11"/>
      <c r="C86" s="11"/>
      <c r="D86" s="11"/>
      <c r="E86" s="11"/>
      <c r="F86" s="11"/>
      <c r="G86" s="11"/>
      <c r="H86" s="11"/>
      <c r="I86" s="11"/>
      <c r="J86" s="11"/>
      <c r="K86" s="11"/>
      <c r="L86" s="11"/>
    </row>
    <row r="87" spans="2:12" ht="15.75" customHeight="1">
      <c r="B87" s="11"/>
      <c r="C87" s="11"/>
      <c r="D87" s="11"/>
      <c r="E87" s="11"/>
      <c r="F87" s="11"/>
      <c r="G87" s="11"/>
      <c r="H87" s="11"/>
      <c r="I87" s="11"/>
      <c r="J87" s="11"/>
      <c r="K87" s="11"/>
      <c r="L87" s="11"/>
    </row>
    <row r="88" spans="2:12" ht="15.75" customHeight="1">
      <c r="B88" s="11"/>
      <c r="C88" s="11"/>
      <c r="D88" s="11"/>
      <c r="E88" s="11"/>
      <c r="F88" s="11"/>
      <c r="G88" s="11"/>
      <c r="H88" s="11"/>
      <c r="I88" s="11"/>
      <c r="J88" s="11"/>
      <c r="K88" s="11"/>
      <c r="L88" s="11"/>
    </row>
    <row r="89" spans="2:12" ht="15.75" customHeight="1">
      <c r="B89" s="11"/>
      <c r="C89" s="11"/>
      <c r="D89" s="11"/>
      <c r="E89" s="11"/>
      <c r="F89" s="11"/>
      <c r="G89" s="11"/>
      <c r="H89" s="11"/>
      <c r="I89" s="11"/>
      <c r="J89" s="11"/>
      <c r="K89" s="11"/>
      <c r="L89" s="11"/>
    </row>
    <row r="90" spans="2:12" ht="15.75" customHeight="1">
      <c r="B90" s="11"/>
      <c r="C90" s="11"/>
      <c r="D90" s="11"/>
      <c r="E90" s="11"/>
      <c r="F90" s="11"/>
      <c r="G90" s="11"/>
      <c r="H90" s="11"/>
      <c r="I90" s="11"/>
      <c r="J90" s="11"/>
      <c r="K90" s="11"/>
      <c r="L90" s="11"/>
    </row>
    <row r="91" spans="2:12" ht="15.75" customHeight="1">
      <c r="B91" s="11"/>
      <c r="C91" s="11"/>
      <c r="D91" s="11"/>
      <c r="E91" s="11"/>
      <c r="F91" s="11"/>
      <c r="G91" s="11"/>
      <c r="H91" s="11"/>
      <c r="I91" s="11"/>
      <c r="J91" s="11"/>
      <c r="K91" s="11"/>
      <c r="L91" s="11"/>
    </row>
    <row r="92" spans="2:12" ht="15.75" customHeight="1">
      <c r="B92" s="11"/>
      <c r="C92" s="11"/>
      <c r="D92" s="11"/>
      <c r="E92" s="11"/>
      <c r="F92" s="11"/>
      <c r="G92" s="11"/>
      <c r="H92" s="11"/>
      <c r="I92" s="11"/>
      <c r="J92" s="11"/>
      <c r="K92" s="11"/>
      <c r="L92" s="11"/>
    </row>
    <row r="93" spans="2:12" ht="15.75" customHeight="1">
      <c r="B93" s="11"/>
      <c r="C93" s="11"/>
      <c r="D93" s="11"/>
      <c r="E93" s="11"/>
      <c r="F93" s="11"/>
      <c r="G93" s="11"/>
      <c r="H93" s="11"/>
      <c r="I93" s="11"/>
      <c r="J93" s="11"/>
      <c r="K93" s="11"/>
      <c r="L93" s="11"/>
    </row>
    <row r="94" spans="2:12" ht="15.75" customHeight="1">
      <c r="B94" s="11"/>
      <c r="C94" s="11"/>
      <c r="D94" s="11"/>
      <c r="E94" s="11"/>
      <c r="F94" s="11"/>
      <c r="G94" s="11"/>
      <c r="H94" s="11"/>
      <c r="I94" s="11"/>
      <c r="J94" s="11"/>
      <c r="K94" s="11"/>
      <c r="L94" s="11"/>
    </row>
    <row r="95" spans="2:12" ht="15.75" customHeight="1">
      <c r="B95" s="11"/>
      <c r="C95" s="11"/>
      <c r="D95" s="11"/>
      <c r="E95" s="11"/>
      <c r="F95" s="11"/>
      <c r="G95" s="11"/>
      <c r="H95" s="11"/>
      <c r="I95" s="11"/>
      <c r="J95" s="11"/>
      <c r="K95" s="11"/>
      <c r="L95" s="11"/>
    </row>
    <row r="96" spans="2:12" ht="15.75" customHeight="1">
      <c r="B96" s="11"/>
      <c r="C96" s="11"/>
      <c r="D96" s="11"/>
      <c r="E96" s="11"/>
      <c r="F96" s="11"/>
      <c r="G96" s="11"/>
      <c r="H96" s="11"/>
      <c r="I96" s="11"/>
      <c r="J96" s="11"/>
      <c r="K96" s="11"/>
      <c r="L96" s="11"/>
    </row>
    <row r="97" spans="2:12" ht="15.75" customHeight="1">
      <c r="B97" s="11"/>
      <c r="C97" s="11"/>
      <c r="D97" s="11"/>
      <c r="E97" s="11"/>
      <c r="F97" s="11"/>
      <c r="G97" s="11"/>
      <c r="H97" s="11"/>
      <c r="I97" s="11"/>
      <c r="J97" s="11"/>
      <c r="K97" s="11"/>
      <c r="L97" s="11"/>
    </row>
    <row r="98" spans="2:12" ht="15.75" customHeight="1">
      <c r="B98" s="11"/>
      <c r="C98" s="11"/>
      <c r="D98" s="11"/>
      <c r="E98" s="11"/>
      <c r="F98" s="11"/>
      <c r="G98" s="11"/>
      <c r="H98" s="11"/>
      <c r="I98" s="11"/>
      <c r="J98" s="11"/>
      <c r="K98" s="11"/>
      <c r="L98" s="11"/>
    </row>
    <row r="99" spans="2:12" ht="15.75" customHeight="1">
      <c r="B99" s="11"/>
      <c r="C99" s="11"/>
      <c r="D99" s="11"/>
      <c r="E99" s="11"/>
      <c r="F99" s="11"/>
      <c r="G99" s="11"/>
      <c r="H99" s="11"/>
      <c r="I99" s="11"/>
      <c r="J99" s="11"/>
      <c r="K99" s="11"/>
      <c r="L99" s="11"/>
    </row>
    <row r="100" spans="2:12" ht="15.75" customHeight="1">
      <c r="B100" s="11"/>
      <c r="C100" s="11"/>
      <c r="D100" s="11"/>
      <c r="E100" s="11"/>
      <c r="F100" s="11"/>
      <c r="G100" s="11"/>
      <c r="H100" s="11"/>
      <c r="I100" s="11"/>
      <c r="J100" s="11"/>
      <c r="K100" s="11"/>
      <c r="L100" s="11"/>
    </row>
    <row r="101" spans="2:12" ht="15.75" customHeight="1">
      <c r="B101" s="11"/>
      <c r="C101" s="11"/>
      <c r="D101" s="11"/>
      <c r="E101" s="11"/>
      <c r="F101" s="11"/>
      <c r="G101" s="11"/>
      <c r="H101" s="11"/>
      <c r="I101" s="11"/>
      <c r="J101" s="11"/>
      <c r="K101" s="11"/>
      <c r="L101" s="11"/>
    </row>
    <row r="102" spans="2:12" ht="15.75" customHeight="1">
      <c r="B102" s="11"/>
      <c r="C102" s="11"/>
      <c r="D102" s="11"/>
      <c r="E102" s="11"/>
      <c r="F102" s="11"/>
      <c r="G102" s="11"/>
      <c r="H102" s="11"/>
      <c r="I102" s="11"/>
      <c r="J102" s="11"/>
      <c r="K102" s="11"/>
      <c r="L102" s="11"/>
    </row>
    <row r="103" spans="2:12" ht="15.75" customHeight="1">
      <c r="B103" s="11"/>
      <c r="C103" s="11"/>
      <c r="D103" s="11"/>
      <c r="E103" s="11"/>
      <c r="F103" s="11"/>
      <c r="G103" s="11"/>
      <c r="H103" s="11"/>
      <c r="I103" s="11"/>
      <c r="J103" s="11"/>
      <c r="K103" s="11"/>
      <c r="L103" s="11"/>
    </row>
    <row r="104" spans="2:12" ht="15.75" customHeight="1">
      <c r="B104" s="11"/>
      <c r="C104" s="11"/>
      <c r="D104" s="11"/>
      <c r="E104" s="11"/>
      <c r="F104" s="11"/>
      <c r="G104" s="11"/>
      <c r="H104" s="11"/>
      <c r="I104" s="11"/>
      <c r="J104" s="11"/>
      <c r="K104" s="11"/>
      <c r="L104" s="11"/>
    </row>
    <row r="105" spans="2:12" ht="15.75" customHeight="1">
      <c r="B105" s="11"/>
      <c r="C105" s="11"/>
      <c r="D105" s="11"/>
      <c r="E105" s="11"/>
      <c r="F105" s="11"/>
      <c r="G105" s="11"/>
      <c r="H105" s="11"/>
      <c r="I105" s="11"/>
      <c r="J105" s="11"/>
      <c r="K105" s="11"/>
      <c r="L105" s="11"/>
    </row>
    <row r="106" spans="2:12" ht="15.75" customHeight="1">
      <c r="B106" s="11"/>
      <c r="C106" s="11"/>
      <c r="D106" s="11"/>
      <c r="E106" s="11"/>
      <c r="F106" s="11"/>
      <c r="G106" s="11"/>
      <c r="H106" s="11"/>
      <c r="I106" s="11"/>
      <c r="J106" s="11"/>
      <c r="K106" s="11"/>
      <c r="L106" s="11"/>
    </row>
    <row r="107" spans="2:12" ht="15.75" customHeight="1">
      <c r="B107" s="11"/>
      <c r="C107" s="11"/>
      <c r="D107" s="11"/>
      <c r="E107" s="11"/>
      <c r="F107" s="11"/>
      <c r="G107" s="11"/>
      <c r="H107" s="11"/>
      <c r="I107" s="11"/>
      <c r="J107" s="11"/>
      <c r="K107" s="11"/>
      <c r="L107" s="11"/>
    </row>
    <row r="108" spans="2:12" ht="15.75" customHeight="1">
      <c r="B108" s="11"/>
      <c r="C108" s="11"/>
      <c r="D108" s="11"/>
      <c r="E108" s="11"/>
      <c r="F108" s="11"/>
      <c r="G108" s="11"/>
      <c r="H108" s="11"/>
      <c r="I108" s="11"/>
      <c r="J108" s="11"/>
      <c r="K108" s="11"/>
      <c r="L108" s="11"/>
    </row>
    <row r="109" spans="2:12" ht="15.75" customHeight="1">
      <c r="B109" s="11"/>
      <c r="C109" s="11"/>
      <c r="D109" s="11"/>
      <c r="E109" s="11"/>
      <c r="F109" s="11"/>
      <c r="G109" s="11"/>
      <c r="H109" s="11"/>
      <c r="I109" s="11"/>
      <c r="J109" s="11"/>
      <c r="K109" s="11"/>
      <c r="L109" s="11"/>
    </row>
    <row r="110" spans="2:12" ht="15.75" customHeight="1">
      <c r="B110" s="11"/>
      <c r="C110" s="11"/>
      <c r="D110" s="11"/>
      <c r="E110" s="11"/>
      <c r="F110" s="11"/>
      <c r="G110" s="11"/>
      <c r="H110" s="11"/>
      <c r="I110" s="11"/>
      <c r="J110" s="11"/>
      <c r="K110" s="11"/>
      <c r="L110" s="11"/>
    </row>
    <row r="111" spans="2:12" ht="15.75" customHeight="1">
      <c r="B111" s="11"/>
      <c r="C111" s="11"/>
      <c r="D111" s="11"/>
      <c r="E111" s="11"/>
      <c r="F111" s="11"/>
      <c r="G111" s="11"/>
      <c r="H111" s="11"/>
      <c r="I111" s="11"/>
      <c r="J111" s="11"/>
      <c r="K111" s="11"/>
      <c r="L111" s="11"/>
    </row>
    <row r="112" spans="2:12" ht="15.75" customHeight="1">
      <c r="B112" s="11"/>
      <c r="C112" s="11"/>
      <c r="D112" s="11"/>
      <c r="E112" s="11"/>
      <c r="F112" s="11"/>
      <c r="G112" s="11"/>
      <c r="H112" s="11"/>
      <c r="I112" s="11"/>
      <c r="J112" s="11"/>
      <c r="K112" s="11"/>
      <c r="L112" s="11"/>
    </row>
    <row r="113" spans="2:12" ht="15.75" customHeight="1">
      <c r="B113" s="11"/>
      <c r="C113" s="11"/>
      <c r="D113" s="11"/>
      <c r="E113" s="11"/>
      <c r="F113" s="11"/>
      <c r="G113" s="11"/>
      <c r="H113" s="11"/>
      <c r="I113" s="11"/>
      <c r="J113" s="11"/>
      <c r="K113" s="11"/>
      <c r="L113" s="11"/>
    </row>
    <row r="114" spans="2:12" ht="15.75" customHeight="1">
      <c r="B114" s="11"/>
      <c r="C114" s="11"/>
      <c r="D114" s="11"/>
      <c r="E114" s="11"/>
      <c r="F114" s="11"/>
      <c r="G114" s="11"/>
      <c r="H114" s="11"/>
      <c r="I114" s="11"/>
      <c r="J114" s="11"/>
      <c r="K114" s="11"/>
      <c r="L114" s="11"/>
    </row>
    <row r="115" spans="2:12" ht="15.75" customHeight="1">
      <c r="B115" s="11"/>
      <c r="C115" s="11"/>
      <c r="D115" s="11"/>
      <c r="E115" s="11"/>
      <c r="F115" s="11"/>
      <c r="G115" s="11"/>
      <c r="H115" s="11"/>
      <c r="I115" s="11"/>
      <c r="J115" s="11"/>
      <c r="K115" s="11"/>
      <c r="L115" s="11"/>
    </row>
    <row r="116" spans="2:12" ht="15.75" customHeight="1">
      <c r="B116" s="11"/>
      <c r="C116" s="11"/>
      <c r="D116" s="11"/>
      <c r="E116" s="11"/>
      <c r="F116" s="11"/>
      <c r="G116" s="11"/>
      <c r="H116" s="11"/>
      <c r="I116" s="11"/>
      <c r="J116" s="11"/>
      <c r="K116" s="11"/>
      <c r="L116" s="11"/>
    </row>
    <row r="117" spans="2:12" ht="15.75" customHeight="1">
      <c r="B117" s="11"/>
      <c r="C117" s="11"/>
      <c r="D117" s="11"/>
      <c r="E117" s="11"/>
      <c r="F117" s="11"/>
      <c r="G117" s="11"/>
      <c r="H117" s="11"/>
      <c r="I117" s="11"/>
      <c r="J117" s="11"/>
      <c r="K117" s="11"/>
      <c r="L117" s="11"/>
    </row>
    <row r="118" spans="2:12" ht="15.75" customHeight="1">
      <c r="B118" s="11"/>
      <c r="C118" s="11"/>
      <c r="D118" s="11"/>
      <c r="E118" s="11"/>
      <c r="F118" s="11"/>
      <c r="G118" s="11"/>
      <c r="H118" s="11"/>
      <c r="I118" s="11"/>
      <c r="J118" s="11"/>
      <c r="K118" s="11"/>
      <c r="L118" s="11"/>
    </row>
    <row r="119" spans="2:12" ht="15.75" customHeight="1">
      <c r="B119" s="11"/>
      <c r="C119" s="11"/>
      <c r="D119" s="11"/>
      <c r="E119" s="11"/>
      <c r="F119" s="11"/>
      <c r="G119" s="11"/>
      <c r="H119" s="11"/>
      <c r="I119" s="11"/>
      <c r="J119" s="11"/>
      <c r="K119" s="11"/>
      <c r="L119" s="11"/>
    </row>
    <row r="120" spans="2:12" ht="15.75" customHeight="1">
      <c r="B120" s="11"/>
      <c r="C120" s="11"/>
      <c r="D120" s="11"/>
      <c r="E120" s="11"/>
      <c r="F120" s="11"/>
      <c r="G120" s="11"/>
      <c r="H120" s="11"/>
      <c r="I120" s="11"/>
      <c r="J120" s="11"/>
      <c r="K120" s="11"/>
      <c r="L120" s="11"/>
    </row>
    <row r="121" spans="2:12" ht="15.75" customHeight="1">
      <c r="B121" s="11"/>
      <c r="C121" s="11"/>
      <c r="D121" s="11"/>
      <c r="E121" s="11"/>
      <c r="F121" s="11"/>
      <c r="G121" s="11"/>
      <c r="H121" s="11"/>
      <c r="I121" s="11"/>
      <c r="J121" s="11"/>
      <c r="K121" s="11"/>
      <c r="L121" s="11"/>
    </row>
    <row r="122" spans="2:12" ht="15.75" customHeight="1">
      <c r="B122" s="11"/>
      <c r="C122" s="11"/>
      <c r="D122" s="11"/>
      <c r="E122" s="11"/>
      <c r="F122" s="11"/>
      <c r="G122" s="11"/>
      <c r="H122" s="11"/>
      <c r="I122" s="11"/>
      <c r="J122" s="11"/>
      <c r="K122" s="11"/>
      <c r="L122" s="11"/>
    </row>
    <row r="123" spans="2:12" ht="15.75" customHeight="1">
      <c r="B123" s="11"/>
      <c r="C123" s="11"/>
      <c r="D123" s="11"/>
      <c r="E123" s="11"/>
      <c r="F123" s="11"/>
      <c r="G123" s="11"/>
      <c r="H123" s="11"/>
      <c r="I123" s="11"/>
      <c r="J123" s="11"/>
      <c r="K123" s="11"/>
      <c r="L123" s="11"/>
    </row>
    <row r="124" spans="2:12" ht="15.75" customHeight="1">
      <c r="B124" s="11"/>
      <c r="C124" s="11"/>
      <c r="D124" s="11"/>
      <c r="E124" s="11"/>
      <c r="F124" s="11"/>
      <c r="G124" s="11"/>
      <c r="H124" s="11"/>
      <c r="I124" s="11"/>
      <c r="J124" s="11"/>
      <c r="K124" s="11"/>
      <c r="L124" s="11"/>
    </row>
    <row r="125" spans="2:12" ht="15.75" customHeight="1">
      <c r="B125" s="11"/>
      <c r="C125" s="11"/>
      <c r="D125" s="11"/>
      <c r="E125" s="11"/>
      <c r="F125" s="11"/>
      <c r="G125" s="11"/>
      <c r="H125" s="11"/>
      <c r="I125" s="11"/>
      <c r="J125" s="11"/>
      <c r="K125" s="11"/>
      <c r="L125" s="11"/>
    </row>
    <row r="126" spans="2:12" ht="15.75" customHeight="1">
      <c r="B126" s="11"/>
      <c r="C126" s="11"/>
      <c r="D126" s="11"/>
      <c r="E126" s="11"/>
      <c r="F126" s="11"/>
      <c r="G126" s="11"/>
      <c r="H126" s="11"/>
      <c r="I126" s="11"/>
      <c r="J126" s="11"/>
      <c r="K126" s="11"/>
      <c r="L126" s="11"/>
    </row>
    <row r="127" spans="2:12" ht="15.75" customHeight="1">
      <c r="B127" s="11"/>
      <c r="C127" s="11"/>
      <c r="D127" s="11"/>
      <c r="E127" s="11"/>
      <c r="F127" s="11"/>
      <c r="G127" s="11"/>
      <c r="H127" s="11"/>
      <c r="I127" s="11"/>
      <c r="J127" s="11"/>
      <c r="K127" s="11"/>
      <c r="L127" s="11"/>
    </row>
    <row r="128" spans="2:12" ht="15.75" customHeight="1">
      <c r="B128" s="11"/>
      <c r="C128" s="11"/>
      <c r="D128" s="11"/>
      <c r="E128" s="11"/>
      <c r="F128" s="11"/>
      <c r="G128" s="11"/>
      <c r="H128" s="11"/>
      <c r="I128" s="11"/>
      <c r="J128" s="11"/>
      <c r="K128" s="11"/>
      <c r="L128" s="11"/>
    </row>
    <row r="129" spans="2:12" ht="15.75" customHeight="1">
      <c r="B129" s="11"/>
      <c r="C129" s="11"/>
      <c r="D129" s="11"/>
      <c r="E129" s="11"/>
      <c r="F129" s="11"/>
      <c r="G129" s="11"/>
      <c r="H129" s="11"/>
      <c r="I129" s="11"/>
      <c r="J129" s="11"/>
      <c r="K129" s="11"/>
      <c r="L129" s="11"/>
    </row>
    <row r="130" spans="2:12" ht="15.75" customHeight="1">
      <c r="B130" s="11"/>
      <c r="C130" s="11"/>
      <c r="D130" s="11"/>
      <c r="E130" s="11"/>
      <c r="F130" s="11"/>
      <c r="G130" s="11"/>
      <c r="H130" s="11"/>
      <c r="I130" s="11"/>
      <c r="J130" s="11"/>
      <c r="K130" s="11"/>
      <c r="L130" s="11"/>
    </row>
    <row r="131" spans="2:12" ht="15.75" customHeight="1">
      <c r="B131" s="11"/>
      <c r="C131" s="11"/>
      <c r="D131" s="11"/>
      <c r="E131" s="11"/>
      <c r="F131" s="11"/>
      <c r="G131" s="11"/>
      <c r="H131" s="11"/>
      <c r="I131" s="11"/>
      <c r="J131" s="11"/>
      <c r="K131" s="11"/>
      <c r="L131" s="11"/>
    </row>
    <row r="132" spans="2:12" ht="15.75" customHeight="1">
      <c r="B132" s="11"/>
      <c r="C132" s="11"/>
      <c r="D132" s="11"/>
      <c r="E132" s="11"/>
      <c r="F132" s="11"/>
      <c r="G132" s="11"/>
      <c r="H132" s="11"/>
      <c r="I132" s="11"/>
      <c r="J132" s="11"/>
      <c r="K132" s="11"/>
      <c r="L132" s="11"/>
    </row>
    <row r="133" spans="2:12" ht="15.75" customHeight="1">
      <c r="B133" s="11"/>
      <c r="C133" s="11"/>
      <c r="D133" s="11"/>
      <c r="E133" s="11"/>
      <c r="F133" s="11"/>
      <c r="G133" s="11"/>
      <c r="H133" s="11"/>
      <c r="I133" s="11"/>
      <c r="J133" s="11"/>
      <c r="K133" s="11"/>
      <c r="L133" s="11"/>
    </row>
    <row r="134" spans="2:12" ht="15.75" customHeight="1">
      <c r="B134" s="11"/>
      <c r="C134" s="11"/>
      <c r="D134" s="11"/>
      <c r="E134" s="11"/>
      <c r="F134" s="11"/>
      <c r="G134" s="11"/>
      <c r="H134" s="11"/>
      <c r="I134" s="11"/>
      <c r="J134" s="11"/>
      <c r="K134" s="11"/>
      <c r="L134" s="11"/>
    </row>
    <row r="135" spans="2:12" ht="15.75" customHeight="1">
      <c r="B135" s="11"/>
      <c r="C135" s="11"/>
      <c r="D135" s="11"/>
      <c r="E135" s="11"/>
      <c r="F135" s="11"/>
      <c r="G135" s="11"/>
      <c r="H135" s="11"/>
      <c r="I135" s="11"/>
      <c r="J135" s="11"/>
      <c r="K135" s="11"/>
      <c r="L135" s="11"/>
    </row>
    <row r="136" spans="2:12" ht="15.75" customHeight="1">
      <c r="B136" s="11"/>
      <c r="C136" s="11"/>
      <c r="D136" s="11"/>
      <c r="E136" s="11"/>
      <c r="F136" s="11"/>
      <c r="G136" s="11"/>
      <c r="H136" s="11"/>
      <c r="I136" s="11"/>
      <c r="J136" s="11"/>
      <c r="K136" s="11"/>
      <c r="L136" s="11"/>
    </row>
    <row r="137" spans="2:12" ht="15.75" customHeight="1">
      <c r="B137" s="11"/>
      <c r="C137" s="11"/>
      <c r="D137" s="11"/>
      <c r="E137" s="11"/>
      <c r="F137" s="11"/>
      <c r="G137" s="11"/>
      <c r="H137" s="11"/>
      <c r="I137" s="11"/>
      <c r="J137" s="11"/>
      <c r="K137" s="11"/>
      <c r="L137" s="11"/>
    </row>
    <row r="138" spans="2:12" ht="15.75" customHeight="1">
      <c r="B138" s="11"/>
      <c r="C138" s="11"/>
      <c r="D138" s="11"/>
      <c r="E138" s="11"/>
      <c r="F138" s="11"/>
      <c r="G138" s="11"/>
      <c r="H138" s="11"/>
      <c r="I138" s="11"/>
      <c r="J138" s="11"/>
      <c r="K138" s="11"/>
      <c r="L138" s="11"/>
    </row>
    <row r="139" spans="2:12" ht="15.75" customHeight="1">
      <c r="B139" s="11"/>
      <c r="C139" s="11"/>
      <c r="D139" s="11"/>
      <c r="E139" s="11"/>
      <c r="F139" s="11"/>
      <c r="G139" s="11"/>
      <c r="H139" s="11"/>
      <c r="I139" s="11"/>
      <c r="J139" s="11"/>
      <c r="K139" s="11"/>
      <c r="L139" s="11"/>
    </row>
    <row r="140" spans="2:12" ht="15.75" customHeight="1">
      <c r="B140" s="11"/>
      <c r="C140" s="11"/>
      <c r="D140" s="11"/>
      <c r="E140" s="11"/>
      <c r="F140" s="11"/>
      <c r="G140" s="11"/>
      <c r="H140" s="11"/>
      <c r="I140" s="11"/>
      <c r="J140" s="11"/>
      <c r="K140" s="11"/>
      <c r="L140" s="11"/>
    </row>
    <row r="141" spans="2:12" ht="15.75" customHeight="1">
      <c r="B141" s="11"/>
      <c r="C141" s="11"/>
      <c r="D141" s="11"/>
      <c r="E141" s="11"/>
      <c r="F141" s="11"/>
      <c r="G141" s="11"/>
      <c r="H141" s="11"/>
      <c r="I141" s="11"/>
      <c r="J141" s="11"/>
      <c r="K141" s="11"/>
      <c r="L141" s="11"/>
    </row>
    <row r="142" spans="2:12" ht="15.75" customHeight="1">
      <c r="B142" s="11"/>
      <c r="C142" s="11"/>
      <c r="D142" s="11"/>
      <c r="E142" s="11"/>
      <c r="F142" s="11"/>
      <c r="G142" s="11"/>
      <c r="H142" s="11"/>
      <c r="I142" s="11"/>
      <c r="J142" s="11"/>
      <c r="K142" s="11"/>
      <c r="L142" s="11"/>
    </row>
    <row r="143" spans="2:12" ht="15.75" customHeight="1">
      <c r="B143" s="11"/>
      <c r="C143" s="11"/>
      <c r="D143" s="11"/>
      <c r="E143" s="11"/>
      <c r="F143" s="11"/>
      <c r="G143" s="11"/>
      <c r="H143" s="11"/>
      <c r="I143" s="11"/>
      <c r="J143" s="11"/>
      <c r="K143" s="11"/>
      <c r="L143" s="11"/>
    </row>
    <row r="144" spans="2:12" ht="15.75" customHeight="1">
      <c r="B144" s="11"/>
      <c r="C144" s="11"/>
      <c r="D144" s="11"/>
      <c r="E144" s="11"/>
      <c r="F144" s="11"/>
      <c r="G144" s="11"/>
      <c r="H144" s="11"/>
      <c r="I144" s="11"/>
      <c r="J144" s="11"/>
      <c r="K144" s="11"/>
      <c r="L144" s="11"/>
    </row>
    <row r="145" spans="2:12" ht="15.75" customHeight="1">
      <c r="B145" s="11"/>
      <c r="C145" s="11"/>
      <c r="D145" s="11"/>
      <c r="E145" s="11"/>
      <c r="F145" s="11"/>
      <c r="G145" s="11"/>
      <c r="H145" s="11"/>
      <c r="I145" s="11"/>
      <c r="J145" s="11"/>
      <c r="K145" s="11"/>
      <c r="L145" s="11"/>
    </row>
    <row r="146" spans="2:12" ht="15.75" customHeight="1">
      <c r="B146" s="11"/>
      <c r="C146" s="11"/>
      <c r="D146" s="11"/>
      <c r="E146" s="11"/>
      <c r="F146" s="11"/>
      <c r="G146" s="11"/>
      <c r="H146" s="11"/>
      <c r="I146" s="11"/>
      <c r="J146" s="11"/>
      <c r="K146" s="11"/>
      <c r="L146" s="11"/>
    </row>
    <row r="147" spans="2:12" ht="15.75" customHeight="1">
      <c r="B147" s="11"/>
      <c r="C147" s="11"/>
      <c r="D147" s="11"/>
      <c r="E147" s="11"/>
      <c r="F147" s="11"/>
      <c r="G147" s="11"/>
      <c r="H147" s="11"/>
      <c r="I147" s="11"/>
      <c r="J147" s="11"/>
      <c r="K147" s="11"/>
      <c r="L147" s="11"/>
    </row>
    <row r="148" spans="2:12" ht="15.75" customHeight="1">
      <c r="B148" s="11"/>
      <c r="C148" s="11"/>
      <c r="D148" s="11"/>
      <c r="E148" s="11"/>
      <c r="F148" s="11"/>
      <c r="G148" s="11"/>
      <c r="H148" s="11"/>
      <c r="I148" s="11"/>
      <c r="J148" s="11"/>
      <c r="K148" s="11"/>
      <c r="L148" s="11"/>
    </row>
    <row r="149" spans="2:12" ht="15.75" customHeight="1">
      <c r="B149" s="11"/>
      <c r="C149" s="11"/>
      <c r="D149" s="11"/>
      <c r="E149" s="11"/>
      <c r="F149" s="11"/>
      <c r="G149" s="11"/>
      <c r="H149" s="11"/>
      <c r="I149" s="11"/>
      <c r="J149" s="11"/>
      <c r="K149" s="11"/>
      <c r="L149" s="11"/>
    </row>
    <row r="150" spans="2:12" ht="15.75" customHeight="1">
      <c r="B150" s="11"/>
      <c r="C150" s="11"/>
      <c r="D150" s="11"/>
      <c r="E150" s="11"/>
      <c r="F150" s="11"/>
      <c r="G150" s="11"/>
      <c r="H150" s="11"/>
      <c r="I150" s="11"/>
      <c r="J150" s="11"/>
      <c r="K150" s="11"/>
      <c r="L150" s="11"/>
    </row>
    <row r="151" spans="2:12" ht="15.75" customHeight="1">
      <c r="B151" s="11"/>
      <c r="C151" s="11"/>
      <c r="D151" s="11"/>
      <c r="E151" s="11"/>
      <c r="F151" s="11"/>
      <c r="G151" s="11"/>
      <c r="H151" s="11"/>
      <c r="I151" s="11"/>
      <c r="J151" s="11"/>
      <c r="K151" s="11"/>
      <c r="L151" s="11"/>
    </row>
    <row r="152" spans="2:12" ht="15.75" customHeight="1">
      <c r="B152" s="11"/>
      <c r="C152" s="11"/>
      <c r="D152" s="11"/>
      <c r="E152" s="11"/>
      <c r="F152" s="11"/>
      <c r="G152" s="11"/>
      <c r="H152" s="11"/>
      <c r="I152" s="11"/>
      <c r="J152" s="11"/>
      <c r="K152" s="11"/>
      <c r="L152" s="11"/>
    </row>
    <row r="153" spans="2:12" ht="15.75" customHeight="1">
      <c r="B153" s="11"/>
      <c r="C153" s="11"/>
      <c r="D153" s="11"/>
      <c r="E153" s="11"/>
      <c r="F153" s="11"/>
      <c r="G153" s="11"/>
      <c r="H153" s="11"/>
      <c r="I153" s="11"/>
      <c r="J153" s="11"/>
      <c r="K153" s="11"/>
      <c r="L153" s="11"/>
    </row>
    <row r="154" spans="2:12" ht="15.75" customHeight="1">
      <c r="B154" s="11"/>
      <c r="C154" s="11"/>
      <c r="D154" s="11"/>
      <c r="E154" s="11"/>
      <c r="F154" s="11"/>
      <c r="G154" s="11"/>
      <c r="H154" s="11"/>
      <c r="I154" s="11"/>
      <c r="J154" s="11"/>
      <c r="K154" s="11"/>
      <c r="L154" s="11"/>
    </row>
    <row r="155" spans="2:12" ht="15.75" customHeight="1">
      <c r="B155" s="11"/>
      <c r="C155" s="11"/>
      <c r="D155" s="11"/>
      <c r="E155" s="11"/>
      <c r="F155" s="11"/>
      <c r="G155" s="11"/>
      <c r="H155" s="11"/>
      <c r="I155" s="11"/>
      <c r="J155" s="11"/>
      <c r="K155" s="11"/>
      <c r="L155" s="11"/>
    </row>
    <row r="156" spans="2:12" ht="15.75" customHeight="1">
      <c r="B156" s="11"/>
      <c r="C156" s="11"/>
      <c r="D156" s="11"/>
      <c r="E156" s="11"/>
      <c r="F156" s="11"/>
      <c r="G156" s="11"/>
      <c r="H156" s="11"/>
      <c r="I156" s="11"/>
      <c r="J156" s="11"/>
      <c r="K156" s="11"/>
      <c r="L156" s="11"/>
    </row>
    <row r="157" spans="2:12" ht="15.75" customHeight="1">
      <c r="B157" s="11"/>
      <c r="C157" s="11"/>
      <c r="D157" s="11"/>
      <c r="E157" s="11"/>
      <c r="F157" s="11"/>
      <c r="G157" s="11"/>
      <c r="H157" s="11"/>
      <c r="I157" s="11"/>
      <c r="J157" s="11"/>
      <c r="K157" s="11"/>
      <c r="L157" s="11"/>
    </row>
    <row r="158" spans="2:12" ht="15.75" customHeight="1">
      <c r="B158" s="11"/>
      <c r="C158" s="11"/>
      <c r="D158" s="11"/>
      <c r="E158" s="11"/>
      <c r="F158" s="11"/>
      <c r="G158" s="11"/>
      <c r="H158" s="11"/>
      <c r="I158" s="11"/>
      <c r="J158" s="11"/>
      <c r="K158" s="11"/>
      <c r="L158" s="11"/>
    </row>
    <row r="159" spans="2:12" ht="15.75" customHeight="1">
      <c r="B159" s="11"/>
      <c r="C159" s="11"/>
      <c r="D159" s="11"/>
      <c r="E159" s="11"/>
      <c r="F159" s="11"/>
      <c r="G159" s="11"/>
      <c r="H159" s="11"/>
      <c r="I159" s="11"/>
      <c r="J159" s="11"/>
      <c r="K159" s="11"/>
      <c r="L159" s="11"/>
    </row>
    <row r="160" spans="2:12" ht="15.75" customHeight="1">
      <c r="B160" s="11"/>
      <c r="C160" s="11"/>
      <c r="D160" s="11"/>
      <c r="E160" s="11"/>
      <c r="F160" s="11"/>
      <c r="G160" s="11"/>
      <c r="H160" s="11"/>
      <c r="I160" s="11"/>
      <c r="J160" s="11"/>
      <c r="K160" s="11"/>
      <c r="L160" s="11"/>
    </row>
    <row r="161" spans="2:12" ht="15.75" customHeight="1">
      <c r="B161" s="11"/>
      <c r="C161" s="11"/>
      <c r="D161" s="11"/>
      <c r="E161" s="11"/>
      <c r="F161" s="11"/>
      <c r="G161" s="11"/>
      <c r="H161" s="11"/>
      <c r="I161" s="11"/>
      <c r="J161" s="11"/>
      <c r="K161" s="11"/>
      <c r="L161" s="11"/>
    </row>
    <row r="162" spans="2:12" ht="15.75" customHeight="1">
      <c r="B162" s="11"/>
      <c r="C162" s="11"/>
      <c r="D162" s="11"/>
      <c r="E162" s="11"/>
      <c r="F162" s="11"/>
      <c r="G162" s="11"/>
      <c r="H162" s="11"/>
      <c r="I162" s="11"/>
      <c r="J162" s="11"/>
      <c r="K162" s="11"/>
      <c r="L162" s="11"/>
    </row>
    <row r="163" spans="2:12" ht="15.75" customHeight="1">
      <c r="B163" s="11"/>
      <c r="C163" s="11"/>
      <c r="D163" s="11"/>
      <c r="E163" s="11"/>
      <c r="F163" s="11"/>
      <c r="G163" s="11"/>
      <c r="H163" s="11"/>
      <c r="I163" s="11"/>
      <c r="J163" s="11"/>
      <c r="K163" s="11"/>
      <c r="L163" s="11"/>
    </row>
    <row r="164" spans="2:12" ht="15.75" customHeight="1">
      <c r="B164" s="11"/>
      <c r="C164" s="11"/>
      <c r="D164" s="11"/>
      <c r="E164" s="11"/>
      <c r="F164" s="11"/>
      <c r="G164" s="11"/>
      <c r="H164" s="11"/>
      <c r="I164" s="11"/>
      <c r="J164" s="11"/>
      <c r="K164" s="11"/>
      <c r="L164" s="11"/>
    </row>
    <row r="165" spans="2:12" ht="15.75" customHeight="1">
      <c r="B165" s="11"/>
      <c r="C165" s="11"/>
      <c r="D165" s="11"/>
      <c r="E165" s="11"/>
      <c r="F165" s="11"/>
      <c r="G165" s="11"/>
      <c r="H165" s="11"/>
      <c r="I165" s="11"/>
      <c r="J165" s="11"/>
      <c r="K165" s="11"/>
      <c r="L165" s="11"/>
    </row>
    <row r="166" spans="2:12" ht="15.75" customHeight="1">
      <c r="B166" s="11"/>
      <c r="C166" s="11"/>
      <c r="D166" s="11"/>
      <c r="E166" s="11"/>
      <c r="F166" s="11"/>
      <c r="G166" s="11"/>
      <c r="H166" s="11"/>
      <c r="I166" s="11"/>
      <c r="J166" s="11"/>
      <c r="K166" s="11"/>
      <c r="L166" s="11"/>
    </row>
    <row r="167" spans="2:12" ht="15.75" customHeight="1">
      <c r="B167" s="11"/>
      <c r="C167" s="11"/>
      <c r="D167" s="11"/>
      <c r="E167" s="11"/>
      <c r="F167" s="11"/>
      <c r="G167" s="11"/>
      <c r="H167" s="11"/>
      <c r="I167" s="11"/>
      <c r="J167" s="11"/>
      <c r="K167" s="11"/>
      <c r="L167" s="11"/>
    </row>
    <row r="168" spans="2:12" ht="15.75" customHeight="1">
      <c r="B168" s="11"/>
      <c r="C168" s="11"/>
      <c r="D168" s="11"/>
      <c r="E168" s="11"/>
      <c r="F168" s="11"/>
      <c r="G168" s="11"/>
      <c r="H168" s="11"/>
      <c r="I168" s="11"/>
      <c r="J168" s="11"/>
      <c r="K168" s="11"/>
      <c r="L168" s="11"/>
    </row>
    <row r="169" spans="2:12" ht="15.75" customHeight="1">
      <c r="B169" s="11"/>
      <c r="C169" s="11"/>
      <c r="D169" s="11"/>
      <c r="E169" s="11"/>
      <c r="F169" s="11"/>
      <c r="G169" s="11"/>
      <c r="H169" s="11"/>
      <c r="I169" s="11"/>
      <c r="J169" s="11"/>
      <c r="K169" s="11"/>
      <c r="L169" s="11"/>
    </row>
    <row r="170" spans="2:12" ht="15.75" customHeight="1">
      <c r="B170" s="11"/>
      <c r="C170" s="11"/>
      <c r="D170" s="11"/>
      <c r="E170" s="11"/>
      <c r="F170" s="11"/>
      <c r="G170" s="11"/>
      <c r="H170" s="11"/>
      <c r="I170" s="11"/>
      <c r="J170" s="11"/>
      <c r="K170" s="11"/>
      <c r="L170" s="11"/>
    </row>
    <row r="171" spans="2:12" ht="15.75" customHeight="1">
      <c r="B171" s="11"/>
      <c r="C171" s="11"/>
      <c r="D171" s="11"/>
      <c r="E171" s="11"/>
      <c r="F171" s="11"/>
      <c r="G171" s="11"/>
      <c r="H171" s="11"/>
      <c r="I171" s="11"/>
      <c r="J171" s="11"/>
      <c r="K171" s="11"/>
      <c r="L171" s="11"/>
    </row>
    <row r="172" spans="2:12" ht="15.75" customHeight="1">
      <c r="B172" s="11"/>
      <c r="C172" s="11"/>
      <c r="D172" s="11"/>
      <c r="E172" s="11"/>
      <c r="F172" s="11"/>
      <c r="G172" s="11"/>
      <c r="H172" s="11"/>
      <c r="I172" s="11"/>
      <c r="J172" s="11"/>
      <c r="K172" s="11"/>
      <c r="L172" s="11"/>
    </row>
    <row r="173" spans="2:12" ht="15.75" customHeight="1">
      <c r="B173" s="11"/>
      <c r="C173" s="11"/>
      <c r="D173" s="11"/>
      <c r="E173" s="11"/>
      <c r="F173" s="11"/>
      <c r="G173" s="11"/>
      <c r="H173" s="11"/>
      <c r="I173" s="11"/>
      <c r="J173" s="11"/>
      <c r="K173" s="11"/>
      <c r="L173" s="11"/>
    </row>
    <row r="174" spans="2:12" ht="15.75" customHeight="1">
      <c r="B174" s="11"/>
      <c r="C174" s="11"/>
      <c r="D174" s="11"/>
      <c r="E174" s="11"/>
      <c r="F174" s="11"/>
      <c r="G174" s="11"/>
      <c r="H174" s="11"/>
      <c r="I174" s="11"/>
      <c r="J174" s="11"/>
      <c r="K174" s="11"/>
      <c r="L174" s="11"/>
    </row>
    <row r="175" spans="2:12" ht="15.75" customHeight="1">
      <c r="B175" s="11"/>
      <c r="C175" s="11"/>
      <c r="D175" s="11"/>
      <c r="E175" s="11"/>
      <c r="F175" s="11"/>
      <c r="G175" s="11"/>
      <c r="H175" s="11"/>
      <c r="I175" s="11"/>
      <c r="J175" s="11"/>
      <c r="K175" s="11"/>
      <c r="L175" s="11"/>
    </row>
    <row r="176" spans="2:12" ht="15.75" customHeight="1">
      <c r="B176" s="11"/>
      <c r="C176" s="11"/>
      <c r="D176" s="11"/>
      <c r="E176" s="11"/>
      <c r="F176" s="11"/>
      <c r="G176" s="11"/>
      <c r="H176" s="11"/>
      <c r="I176" s="11"/>
      <c r="J176" s="11"/>
      <c r="K176" s="11"/>
      <c r="L176" s="11"/>
    </row>
    <row r="177" spans="2:12" ht="15.75" customHeight="1">
      <c r="B177" s="11"/>
      <c r="C177" s="11"/>
      <c r="D177" s="11"/>
      <c r="E177" s="11"/>
      <c r="F177" s="11"/>
      <c r="G177" s="11"/>
      <c r="H177" s="11"/>
      <c r="I177" s="11"/>
      <c r="J177" s="11"/>
      <c r="K177" s="11"/>
      <c r="L177" s="11"/>
    </row>
    <row r="178" spans="2:12" ht="15.75" customHeight="1">
      <c r="B178" s="11"/>
      <c r="C178" s="11"/>
      <c r="D178" s="11"/>
      <c r="E178" s="11"/>
      <c r="F178" s="11"/>
      <c r="G178" s="11"/>
      <c r="H178" s="11"/>
      <c r="I178" s="11"/>
      <c r="J178" s="11"/>
      <c r="K178" s="11"/>
      <c r="L178" s="11"/>
    </row>
    <row r="179" spans="2:12" ht="15.75" customHeight="1">
      <c r="B179" s="11"/>
      <c r="C179" s="11"/>
      <c r="D179" s="11"/>
      <c r="E179" s="11"/>
      <c r="F179" s="11"/>
      <c r="G179" s="11"/>
      <c r="H179" s="11"/>
      <c r="I179" s="11"/>
      <c r="J179" s="11"/>
      <c r="K179" s="11"/>
      <c r="L179" s="11"/>
    </row>
    <row r="180" spans="2:12" ht="15.75" customHeight="1">
      <c r="B180" s="11"/>
      <c r="C180" s="11"/>
      <c r="D180" s="11"/>
      <c r="E180" s="11"/>
      <c r="F180" s="11"/>
      <c r="G180" s="11"/>
      <c r="H180" s="11"/>
      <c r="I180" s="11"/>
      <c r="J180" s="11"/>
      <c r="K180" s="11"/>
      <c r="L180" s="11"/>
    </row>
    <row r="181" spans="2:12" ht="15.75" customHeight="1">
      <c r="B181" s="11"/>
      <c r="C181" s="11"/>
      <c r="D181" s="11"/>
      <c r="E181" s="11"/>
      <c r="F181" s="11"/>
      <c r="G181" s="11"/>
      <c r="H181" s="11"/>
      <c r="I181" s="11"/>
      <c r="J181" s="11"/>
      <c r="K181" s="11"/>
      <c r="L181" s="11"/>
    </row>
    <row r="182" spans="2:12" ht="15.75" customHeight="1">
      <c r="B182" s="11"/>
      <c r="C182" s="11"/>
      <c r="D182" s="11"/>
      <c r="E182" s="11"/>
      <c r="F182" s="11"/>
      <c r="G182" s="11"/>
      <c r="H182" s="11"/>
      <c r="I182" s="11"/>
      <c r="J182" s="11"/>
      <c r="K182" s="11"/>
      <c r="L182" s="11"/>
    </row>
    <row r="183" spans="2:12" ht="15.75" customHeight="1">
      <c r="B183" s="11"/>
      <c r="C183" s="11"/>
      <c r="D183" s="11"/>
      <c r="E183" s="11"/>
      <c r="F183" s="11"/>
      <c r="G183" s="11"/>
      <c r="H183" s="11"/>
      <c r="I183" s="11"/>
      <c r="J183" s="11"/>
      <c r="K183" s="11"/>
      <c r="L183" s="11"/>
    </row>
    <row r="184" spans="2:12" ht="15.75" customHeight="1">
      <c r="B184" s="11"/>
      <c r="C184" s="11"/>
      <c r="D184" s="11"/>
      <c r="E184" s="11"/>
      <c r="F184" s="11"/>
      <c r="G184" s="11"/>
      <c r="H184" s="11"/>
      <c r="I184" s="11"/>
      <c r="J184" s="11"/>
      <c r="K184" s="11"/>
      <c r="L184" s="11"/>
    </row>
    <row r="185" spans="2:12" ht="15.75" customHeight="1">
      <c r="B185" s="11"/>
      <c r="C185" s="11"/>
      <c r="D185" s="11"/>
      <c r="E185" s="11"/>
      <c r="F185" s="11"/>
      <c r="G185" s="11"/>
      <c r="H185" s="11"/>
      <c r="I185" s="11"/>
      <c r="J185" s="11"/>
      <c r="K185" s="11"/>
      <c r="L185" s="11"/>
    </row>
    <row r="186" spans="2:12" ht="15.75" customHeight="1">
      <c r="B186" s="11"/>
      <c r="C186" s="11"/>
      <c r="D186" s="11"/>
      <c r="E186" s="11"/>
      <c r="F186" s="11"/>
      <c r="G186" s="11"/>
      <c r="H186" s="11"/>
      <c r="I186" s="11"/>
      <c r="J186" s="11"/>
      <c r="K186" s="11"/>
      <c r="L186" s="11"/>
    </row>
    <row r="187" spans="2:12" ht="15.75" customHeight="1">
      <c r="B187" s="11"/>
      <c r="C187" s="11"/>
      <c r="D187" s="11"/>
      <c r="E187" s="11"/>
      <c r="F187" s="11"/>
      <c r="G187" s="11"/>
      <c r="H187" s="11"/>
      <c r="I187" s="11"/>
      <c r="J187" s="11"/>
      <c r="K187" s="11"/>
      <c r="L187" s="11"/>
    </row>
    <row r="188" spans="2:12" ht="15.75" customHeight="1">
      <c r="B188" s="11"/>
      <c r="C188" s="11"/>
      <c r="D188" s="11"/>
      <c r="E188" s="11"/>
      <c r="F188" s="11"/>
      <c r="G188" s="11"/>
      <c r="H188" s="11"/>
      <c r="I188" s="11"/>
      <c r="J188" s="11"/>
      <c r="K188" s="11"/>
      <c r="L188" s="11"/>
    </row>
    <row r="189" spans="2:12" ht="15.75" customHeight="1">
      <c r="B189" s="11"/>
      <c r="C189" s="11"/>
      <c r="D189" s="11"/>
      <c r="E189" s="11"/>
      <c r="F189" s="11"/>
      <c r="G189" s="11"/>
      <c r="H189" s="11"/>
      <c r="I189" s="11"/>
      <c r="J189" s="11"/>
      <c r="K189" s="11"/>
      <c r="L189" s="11"/>
    </row>
    <row r="190" spans="2:12" ht="15.75" customHeight="1">
      <c r="B190" s="11"/>
      <c r="C190" s="11"/>
      <c r="D190" s="11"/>
      <c r="E190" s="11"/>
      <c r="F190" s="11"/>
      <c r="G190" s="11"/>
      <c r="H190" s="11"/>
      <c r="I190" s="11"/>
      <c r="J190" s="11"/>
      <c r="K190" s="11"/>
      <c r="L190" s="11"/>
    </row>
    <row r="191" spans="2:12" ht="15.75" customHeight="1">
      <c r="B191" s="11"/>
      <c r="C191" s="11"/>
      <c r="D191" s="11"/>
      <c r="E191" s="11"/>
      <c r="F191" s="11"/>
      <c r="G191" s="11"/>
      <c r="H191" s="11"/>
      <c r="I191" s="11"/>
      <c r="J191" s="11"/>
      <c r="K191" s="11"/>
      <c r="L191" s="11"/>
    </row>
    <row r="192" spans="2:12" ht="15.75" customHeight="1">
      <c r="B192" s="11"/>
      <c r="C192" s="11"/>
      <c r="D192" s="11"/>
      <c r="E192" s="11"/>
      <c r="F192" s="11"/>
      <c r="G192" s="11"/>
      <c r="H192" s="11"/>
      <c r="I192" s="11"/>
      <c r="J192" s="11"/>
      <c r="K192" s="11"/>
      <c r="L192" s="11"/>
    </row>
    <row r="193" spans="2:12" ht="15.75" customHeight="1">
      <c r="B193" s="11"/>
      <c r="C193" s="11"/>
      <c r="D193" s="11"/>
      <c r="E193" s="11"/>
      <c r="F193" s="11"/>
      <c r="G193" s="11"/>
      <c r="H193" s="11"/>
      <c r="I193" s="11"/>
      <c r="J193" s="11"/>
      <c r="K193" s="11"/>
      <c r="L193" s="11"/>
    </row>
    <row r="194" spans="2:12" ht="15.75" customHeight="1">
      <c r="B194" s="11"/>
      <c r="C194" s="11"/>
      <c r="D194" s="11"/>
      <c r="E194" s="11"/>
      <c r="F194" s="11"/>
      <c r="G194" s="11"/>
      <c r="H194" s="11"/>
      <c r="I194" s="11"/>
      <c r="J194" s="11"/>
      <c r="K194" s="11"/>
      <c r="L194" s="11"/>
    </row>
    <row r="195" spans="2:12" ht="15.75" customHeight="1">
      <c r="B195" s="11"/>
      <c r="C195" s="11"/>
      <c r="D195" s="11"/>
      <c r="E195" s="11"/>
      <c r="F195" s="11"/>
      <c r="G195" s="11"/>
      <c r="H195" s="11"/>
      <c r="I195" s="11"/>
      <c r="J195" s="11"/>
      <c r="K195" s="11"/>
      <c r="L195" s="11"/>
    </row>
    <row r="196" spans="2:12" ht="15.75" customHeight="1">
      <c r="B196" s="11"/>
      <c r="C196" s="11"/>
      <c r="D196" s="11"/>
      <c r="E196" s="11"/>
      <c r="F196" s="11"/>
      <c r="G196" s="11"/>
      <c r="H196" s="11"/>
      <c r="I196" s="11"/>
      <c r="J196" s="11"/>
      <c r="K196" s="11"/>
      <c r="L196" s="11"/>
    </row>
    <row r="197" spans="2:12" ht="15.75" customHeight="1">
      <c r="B197" s="11"/>
      <c r="C197" s="11"/>
      <c r="D197" s="11"/>
      <c r="E197" s="11"/>
      <c r="F197" s="11"/>
      <c r="G197" s="11"/>
      <c r="H197" s="11"/>
      <c r="I197" s="11"/>
      <c r="J197" s="11"/>
      <c r="K197" s="11"/>
      <c r="L197" s="11"/>
    </row>
    <row r="198" spans="2:12" ht="15.75" customHeight="1">
      <c r="B198" s="11"/>
      <c r="C198" s="11"/>
      <c r="D198" s="11"/>
      <c r="E198" s="11"/>
      <c r="F198" s="11"/>
      <c r="G198" s="11"/>
      <c r="H198" s="11"/>
      <c r="I198" s="11"/>
      <c r="J198" s="11"/>
      <c r="K198" s="11"/>
      <c r="L198" s="11"/>
    </row>
    <row r="199" spans="2:12" ht="15.75" customHeight="1">
      <c r="B199" s="11"/>
      <c r="C199" s="11"/>
      <c r="D199" s="11"/>
      <c r="E199" s="11"/>
      <c r="F199" s="11"/>
      <c r="G199" s="11"/>
      <c r="H199" s="11"/>
      <c r="I199" s="11"/>
      <c r="J199" s="11"/>
      <c r="K199" s="11"/>
      <c r="L199" s="11"/>
    </row>
    <row r="200" spans="2:12" ht="15.75" customHeight="1">
      <c r="B200" s="11"/>
      <c r="C200" s="11"/>
      <c r="D200" s="11"/>
      <c r="E200" s="11"/>
      <c r="F200" s="11"/>
      <c r="G200" s="11"/>
      <c r="H200" s="11"/>
      <c r="I200" s="11"/>
      <c r="J200" s="11"/>
      <c r="K200" s="11"/>
      <c r="L200" s="11"/>
    </row>
    <row r="201" spans="2:12" ht="15.75" customHeight="1">
      <c r="B201" s="11"/>
      <c r="C201" s="11"/>
      <c r="D201" s="11"/>
      <c r="E201" s="11"/>
      <c r="F201" s="11"/>
      <c r="G201" s="11"/>
      <c r="H201" s="11"/>
      <c r="I201" s="11"/>
      <c r="J201" s="11"/>
      <c r="K201" s="11"/>
      <c r="L201" s="11"/>
    </row>
    <row r="202" spans="2:12" ht="15.75" customHeight="1">
      <c r="B202" s="11"/>
      <c r="C202" s="11"/>
      <c r="D202" s="11"/>
      <c r="E202" s="11"/>
      <c r="F202" s="11"/>
      <c r="G202" s="11"/>
      <c r="H202" s="11"/>
      <c r="I202" s="11"/>
      <c r="J202" s="11"/>
      <c r="K202" s="11"/>
      <c r="L202" s="11"/>
    </row>
    <row r="203" spans="2:12" ht="15.75" customHeight="1">
      <c r="B203" s="11"/>
      <c r="C203" s="11"/>
      <c r="D203" s="11"/>
      <c r="E203" s="11"/>
      <c r="F203" s="11"/>
      <c r="G203" s="11"/>
      <c r="H203" s="11"/>
      <c r="I203" s="11"/>
      <c r="J203" s="11"/>
      <c r="K203" s="11"/>
      <c r="L203" s="11"/>
    </row>
    <row r="204" spans="2:12" ht="15.75" customHeight="1">
      <c r="B204" s="11"/>
      <c r="C204" s="11"/>
      <c r="D204" s="11"/>
      <c r="E204" s="11"/>
      <c r="F204" s="11"/>
      <c r="G204" s="11"/>
      <c r="H204" s="11"/>
      <c r="I204" s="11"/>
      <c r="J204" s="11"/>
      <c r="K204" s="11"/>
      <c r="L204" s="11"/>
    </row>
    <row r="205" spans="2:12" ht="15.75" customHeight="1">
      <c r="B205" s="11"/>
      <c r="C205" s="11"/>
      <c r="D205" s="11"/>
      <c r="E205" s="11"/>
      <c r="F205" s="11"/>
      <c r="G205" s="11"/>
      <c r="H205" s="11"/>
      <c r="I205" s="11"/>
      <c r="J205" s="11"/>
      <c r="K205" s="11"/>
      <c r="L205" s="11"/>
    </row>
    <row r="206" spans="2:12" ht="15.75" customHeight="1">
      <c r="B206" s="11"/>
      <c r="C206" s="11"/>
      <c r="D206" s="11"/>
      <c r="E206" s="11"/>
      <c r="F206" s="11"/>
      <c r="G206" s="11"/>
      <c r="H206" s="11"/>
      <c r="I206" s="11"/>
      <c r="J206" s="11"/>
      <c r="K206" s="11"/>
      <c r="L206" s="11"/>
    </row>
    <row r="207" spans="2:12" ht="15.75" customHeight="1">
      <c r="B207" s="11"/>
      <c r="C207" s="11"/>
      <c r="D207" s="11"/>
      <c r="E207" s="11"/>
      <c r="F207" s="11"/>
      <c r="G207" s="11"/>
      <c r="H207" s="11"/>
      <c r="I207" s="11"/>
      <c r="J207" s="11"/>
      <c r="K207" s="11"/>
      <c r="L207" s="11"/>
    </row>
    <row r="208" spans="2:12" ht="15.75" customHeight="1">
      <c r="B208" s="11"/>
      <c r="C208" s="11"/>
      <c r="D208" s="11"/>
      <c r="E208" s="11"/>
      <c r="F208" s="11"/>
      <c r="G208" s="11"/>
      <c r="H208" s="11"/>
      <c r="I208" s="11"/>
      <c r="J208" s="11"/>
      <c r="K208" s="11"/>
      <c r="L208" s="11"/>
    </row>
    <row r="209" spans="2:12" ht="15.75" customHeight="1">
      <c r="B209" s="11"/>
      <c r="C209" s="11"/>
      <c r="D209" s="11"/>
      <c r="E209" s="11"/>
      <c r="F209" s="11"/>
      <c r="G209" s="11"/>
      <c r="H209" s="11"/>
      <c r="I209" s="11"/>
      <c r="J209" s="11"/>
      <c r="K209" s="11"/>
      <c r="L209" s="11"/>
    </row>
    <row r="210" spans="2:12" ht="15.75" customHeight="1">
      <c r="B210" s="11"/>
      <c r="C210" s="11"/>
      <c r="D210" s="11"/>
      <c r="E210" s="11"/>
      <c r="F210" s="11"/>
      <c r="G210" s="11"/>
      <c r="H210" s="11"/>
      <c r="I210" s="11"/>
      <c r="J210" s="11"/>
      <c r="K210" s="11"/>
      <c r="L210" s="11"/>
    </row>
    <row r="211" spans="2:12" ht="15.75" customHeight="1">
      <c r="B211" s="11"/>
      <c r="C211" s="11"/>
      <c r="D211" s="11"/>
      <c r="E211" s="11"/>
      <c r="F211" s="11"/>
      <c r="G211" s="11"/>
      <c r="H211" s="11"/>
      <c r="I211" s="11"/>
      <c r="J211" s="11"/>
      <c r="K211" s="11"/>
      <c r="L211" s="11"/>
    </row>
    <row r="212" spans="2:12" ht="15.75" customHeight="1">
      <c r="B212" s="11"/>
      <c r="C212" s="11"/>
      <c r="D212" s="11"/>
      <c r="E212" s="11"/>
      <c r="F212" s="11"/>
      <c r="G212" s="11"/>
      <c r="H212" s="11"/>
      <c r="I212" s="11"/>
      <c r="J212" s="11"/>
      <c r="K212" s="11"/>
      <c r="L212" s="11"/>
    </row>
    <row r="213" spans="2:12" ht="15.75" customHeight="1">
      <c r="B213" s="11"/>
      <c r="C213" s="11"/>
      <c r="D213" s="11"/>
      <c r="E213" s="11"/>
      <c r="F213" s="11"/>
      <c r="G213" s="11"/>
      <c r="H213" s="11"/>
      <c r="I213" s="11"/>
      <c r="J213" s="11"/>
      <c r="K213" s="11"/>
      <c r="L213" s="11"/>
    </row>
    <row r="214" spans="2:12" ht="15.75" customHeight="1">
      <c r="B214" s="11"/>
      <c r="C214" s="11"/>
      <c r="D214" s="11"/>
      <c r="E214" s="11"/>
      <c r="F214" s="11"/>
      <c r="G214" s="11"/>
      <c r="H214" s="11"/>
      <c r="I214" s="11"/>
      <c r="J214" s="11"/>
      <c r="K214" s="11"/>
      <c r="L214" s="11"/>
    </row>
    <row r="215" spans="2:12" ht="15.75" customHeight="1">
      <c r="B215" s="11"/>
      <c r="C215" s="11"/>
      <c r="D215" s="11"/>
      <c r="E215" s="11"/>
      <c r="F215" s="11"/>
      <c r="G215" s="11"/>
      <c r="H215" s="11"/>
      <c r="I215" s="11"/>
      <c r="J215" s="11"/>
      <c r="K215" s="11"/>
      <c r="L215" s="11"/>
    </row>
    <row r="216" spans="2:12" ht="15.75" customHeight="1">
      <c r="B216" s="11"/>
      <c r="C216" s="11"/>
      <c r="D216" s="11"/>
      <c r="E216" s="11"/>
      <c r="F216" s="11"/>
      <c r="G216" s="11"/>
      <c r="H216" s="11"/>
      <c r="I216" s="11"/>
      <c r="J216" s="11"/>
      <c r="K216" s="11"/>
      <c r="L216" s="11"/>
    </row>
    <row r="217" spans="2:12" ht="15.75" customHeight="1">
      <c r="B217" s="11"/>
      <c r="C217" s="11"/>
      <c r="D217" s="11"/>
      <c r="E217" s="11"/>
      <c r="F217" s="11"/>
      <c r="G217" s="11"/>
      <c r="H217" s="11"/>
      <c r="I217" s="11"/>
      <c r="J217" s="11"/>
      <c r="K217" s="11"/>
      <c r="L217" s="11"/>
    </row>
    <row r="218" spans="2:12" ht="15.75" customHeight="1">
      <c r="B218" s="11"/>
      <c r="C218" s="11"/>
      <c r="D218" s="11"/>
      <c r="E218" s="11"/>
      <c r="F218" s="11"/>
      <c r="G218" s="11"/>
      <c r="H218" s="11"/>
      <c r="I218" s="11"/>
      <c r="J218" s="11"/>
      <c r="K218" s="11"/>
      <c r="L218" s="11"/>
    </row>
    <row r="219" spans="2:12" ht="15.75" customHeight="1">
      <c r="B219" s="11"/>
      <c r="C219" s="11"/>
      <c r="D219" s="11"/>
      <c r="E219" s="11"/>
      <c r="F219" s="11"/>
      <c r="G219" s="11"/>
      <c r="H219" s="11"/>
      <c r="I219" s="11"/>
      <c r="J219" s="11"/>
      <c r="K219" s="11"/>
      <c r="L219" s="11"/>
    </row>
    <row r="220" spans="2:12" ht="15.75" customHeight="1">
      <c r="B220" s="11"/>
      <c r="C220" s="11"/>
      <c r="D220" s="11"/>
      <c r="E220" s="11"/>
      <c r="F220" s="11"/>
      <c r="G220" s="11"/>
      <c r="H220" s="11"/>
      <c r="I220" s="11"/>
      <c r="J220" s="11"/>
      <c r="K220" s="11"/>
      <c r="L220" s="11"/>
    </row>
    <row r="221" spans="2:12" ht="15.75" customHeight="1">
      <c r="B221" s="11"/>
      <c r="C221" s="11"/>
      <c r="D221" s="11"/>
      <c r="E221" s="11"/>
      <c r="F221" s="11"/>
      <c r="G221" s="11"/>
      <c r="H221" s="11"/>
      <c r="I221" s="11"/>
      <c r="J221" s="11"/>
      <c r="K221" s="11"/>
      <c r="L221" s="11"/>
    </row>
    <row r="222" spans="2:12" ht="15.75" customHeight="1">
      <c r="B222" s="11"/>
      <c r="C222" s="11"/>
      <c r="D222" s="11"/>
      <c r="E222" s="11"/>
      <c r="F222" s="11"/>
      <c r="G222" s="11"/>
      <c r="H222" s="11"/>
      <c r="I222" s="11"/>
      <c r="J222" s="11"/>
      <c r="K222" s="11"/>
      <c r="L222" s="11"/>
    </row>
    <row r="223" spans="2:12" ht="15.75" customHeight="1">
      <c r="B223" s="11"/>
      <c r="C223" s="11"/>
      <c r="D223" s="11"/>
      <c r="E223" s="11"/>
      <c r="F223" s="11"/>
      <c r="G223" s="11"/>
      <c r="H223" s="11"/>
      <c r="I223" s="11"/>
      <c r="J223" s="11"/>
      <c r="K223" s="11"/>
      <c r="L223" s="11"/>
    </row>
    <row r="224" spans="2:12" ht="15.75" customHeight="1">
      <c r="B224" s="11"/>
      <c r="C224" s="11"/>
      <c r="D224" s="11"/>
      <c r="E224" s="11"/>
      <c r="F224" s="11"/>
      <c r="G224" s="11"/>
      <c r="H224" s="11"/>
      <c r="I224" s="11"/>
      <c r="J224" s="11"/>
      <c r="K224" s="11"/>
      <c r="L224" s="11"/>
    </row>
    <row r="225" spans="2:12" ht="15.75" customHeight="1">
      <c r="B225" s="11"/>
      <c r="C225" s="11"/>
      <c r="D225" s="11"/>
      <c r="E225" s="11"/>
      <c r="F225" s="11"/>
      <c r="G225" s="11"/>
      <c r="H225" s="11"/>
      <c r="I225" s="11"/>
      <c r="J225" s="11"/>
      <c r="K225" s="11"/>
      <c r="L225" s="11"/>
    </row>
    <row r="226" spans="2:12" ht="15.75" customHeight="1">
      <c r="B226" s="11"/>
      <c r="C226" s="11"/>
      <c r="D226" s="11"/>
      <c r="E226" s="11"/>
      <c r="F226" s="11"/>
      <c r="G226" s="11"/>
      <c r="H226" s="11"/>
      <c r="I226" s="11"/>
      <c r="J226" s="11"/>
      <c r="K226" s="11"/>
      <c r="L226" s="11"/>
    </row>
    <row r="227" spans="2:12" ht="15.75" customHeight="1">
      <c r="B227" s="11"/>
      <c r="C227" s="11"/>
      <c r="D227" s="11"/>
      <c r="E227" s="11"/>
      <c r="F227" s="11"/>
      <c r="G227" s="11"/>
      <c r="H227" s="11"/>
      <c r="I227" s="11"/>
      <c r="J227" s="11"/>
      <c r="K227" s="11"/>
      <c r="L227" s="11"/>
    </row>
    <row r="228" spans="2:12" ht="15.75" customHeight="1">
      <c r="B228" s="11"/>
      <c r="C228" s="11"/>
      <c r="D228" s="11"/>
      <c r="E228" s="11"/>
      <c r="F228" s="11"/>
      <c r="G228" s="11"/>
      <c r="H228" s="11"/>
      <c r="I228" s="11"/>
      <c r="J228" s="11"/>
      <c r="K228" s="11"/>
      <c r="L228" s="11"/>
    </row>
    <row r="229" spans="2:12" ht="15.75" customHeight="1">
      <c r="B229" s="11"/>
      <c r="C229" s="11"/>
      <c r="D229" s="11"/>
      <c r="E229" s="11"/>
      <c r="F229" s="11"/>
      <c r="G229" s="11"/>
      <c r="H229" s="11"/>
      <c r="I229" s="11"/>
      <c r="J229" s="11"/>
      <c r="K229" s="11"/>
      <c r="L229" s="11"/>
    </row>
    <row r="230" spans="2:12" ht="15.75" customHeight="1">
      <c r="B230" s="11"/>
      <c r="C230" s="11"/>
      <c r="D230" s="11"/>
      <c r="E230" s="11"/>
      <c r="F230" s="11"/>
      <c r="G230" s="11"/>
      <c r="H230" s="11"/>
      <c r="I230" s="11"/>
      <c r="J230" s="11"/>
      <c r="K230" s="11"/>
      <c r="L230" s="11"/>
    </row>
    <row r="231" spans="2:12" ht="15.75" customHeight="1">
      <c r="B231" s="11"/>
      <c r="C231" s="11"/>
      <c r="D231" s="11"/>
      <c r="E231" s="11"/>
      <c r="F231" s="11"/>
      <c r="G231" s="11"/>
      <c r="H231" s="11"/>
      <c r="I231" s="11"/>
      <c r="J231" s="11"/>
      <c r="K231" s="11"/>
      <c r="L231" s="11"/>
    </row>
    <row r="232" spans="2:12" ht="15.75" customHeight="1">
      <c r="B232" s="11"/>
      <c r="C232" s="11"/>
      <c r="D232" s="11"/>
      <c r="E232" s="11"/>
      <c r="F232" s="11"/>
      <c r="G232" s="11"/>
      <c r="H232" s="11"/>
      <c r="I232" s="11"/>
      <c r="J232" s="11"/>
      <c r="K232" s="11"/>
      <c r="L232" s="11"/>
    </row>
    <row r="233" spans="2:12" ht="15.75" customHeight="1">
      <c r="B233" s="11"/>
      <c r="C233" s="11"/>
      <c r="D233" s="11"/>
      <c r="E233" s="11"/>
      <c r="F233" s="11"/>
      <c r="G233" s="11"/>
      <c r="H233" s="11"/>
      <c r="I233" s="11"/>
      <c r="J233" s="11"/>
      <c r="K233" s="11"/>
      <c r="L233" s="11"/>
    </row>
    <row r="234" spans="2:12" ht="15.75" customHeight="1">
      <c r="B234" s="11"/>
      <c r="C234" s="11"/>
      <c r="D234" s="11"/>
      <c r="E234" s="11"/>
      <c r="F234" s="11"/>
      <c r="G234" s="11"/>
      <c r="H234" s="11"/>
      <c r="I234" s="11"/>
      <c r="J234" s="11"/>
      <c r="K234" s="11"/>
      <c r="L234" s="11"/>
    </row>
    <row r="235" spans="2:12" ht="15.75" customHeight="1">
      <c r="B235" s="11"/>
      <c r="C235" s="11"/>
      <c r="D235" s="11"/>
      <c r="E235" s="11"/>
      <c r="F235" s="11"/>
      <c r="G235" s="11"/>
      <c r="H235" s="11"/>
      <c r="I235" s="11"/>
      <c r="J235" s="11"/>
      <c r="K235" s="11"/>
      <c r="L235" s="11"/>
    </row>
    <row r="236" spans="2:12" ht="15.75" customHeight="1">
      <c r="B236" s="11"/>
      <c r="C236" s="11"/>
      <c r="D236" s="11"/>
      <c r="E236" s="11"/>
      <c r="F236" s="11"/>
      <c r="G236" s="11"/>
      <c r="H236" s="11"/>
      <c r="I236" s="11"/>
      <c r="J236" s="11"/>
      <c r="K236" s="11"/>
      <c r="L236" s="11"/>
    </row>
    <row r="237" spans="2:12" ht="15.75" customHeight="1">
      <c r="B237" s="11"/>
      <c r="C237" s="11"/>
      <c r="D237" s="11"/>
      <c r="E237" s="11"/>
      <c r="F237" s="11"/>
      <c r="G237" s="11"/>
      <c r="H237" s="11"/>
      <c r="I237" s="11"/>
      <c r="J237" s="11"/>
      <c r="K237" s="11"/>
      <c r="L237" s="11"/>
    </row>
    <row r="238" spans="2:12" ht="15.75" customHeight="1">
      <c r="B238" s="11"/>
      <c r="C238" s="11"/>
      <c r="D238" s="11"/>
      <c r="E238" s="11"/>
      <c r="F238" s="11"/>
      <c r="G238" s="11"/>
      <c r="H238" s="11"/>
      <c r="I238" s="11"/>
      <c r="J238" s="11"/>
      <c r="K238" s="11"/>
      <c r="L238" s="11"/>
    </row>
    <row r="239" spans="2:12" ht="15.75" customHeight="1"/>
    <row r="240" spans="2:12"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
    <mergeCell ref="E8:E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AA999"/>
  <sheetViews>
    <sheetView workbookViewId="0">
      <pane ySplit="1" topLeftCell="A9" activePane="bottomLeft" state="frozen"/>
      <selection pane="bottomLeft" activeCell="D28" sqref="D28"/>
    </sheetView>
  </sheetViews>
  <sheetFormatPr defaultColWidth="12.609375" defaultRowHeight="15" customHeight="1"/>
  <cols>
    <col min="1" max="1" width="3.609375" customWidth="1"/>
    <col min="2" max="3" width="12.609375" customWidth="1"/>
    <col min="4" max="4" width="18.38671875" customWidth="1"/>
    <col min="5" max="5" width="15.71875" customWidth="1"/>
    <col min="6" max="6" width="16.5" customWidth="1"/>
    <col min="7" max="8" width="15.38671875" customWidth="1"/>
    <col min="13" max="13" width="40.88671875" customWidth="1"/>
  </cols>
  <sheetData>
    <row r="1" spans="1:27" ht="15.75" customHeight="1">
      <c r="A1" s="4"/>
      <c r="B1" s="12" t="s">
        <v>29</v>
      </c>
      <c r="C1" s="8" t="s">
        <v>37</v>
      </c>
      <c r="D1" s="8" t="s">
        <v>36</v>
      </c>
      <c r="E1" s="13" t="s">
        <v>175</v>
      </c>
      <c r="F1" s="8" t="s">
        <v>176</v>
      </c>
      <c r="G1" s="13" t="s">
        <v>177</v>
      </c>
      <c r="H1" s="13" t="s">
        <v>178</v>
      </c>
      <c r="I1" s="13" t="s">
        <v>38</v>
      </c>
      <c r="J1" s="13" t="s">
        <v>32</v>
      </c>
      <c r="K1" s="13" t="s">
        <v>33</v>
      </c>
      <c r="L1" s="13" t="s">
        <v>34</v>
      </c>
      <c r="M1" s="14" t="s">
        <v>35</v>
      </c>
    </row>
    <row r="2" spans="1:27" ht="15.75" customHeight="1">
      <c r="A2" s="7">
        <v>1</v>
      </c>
      <c r="B2" s="15">
        <v>45988</v>
      </c>
      <c r="C2" s="16">
        <v>0.33333333333333331</v>
      </c>
      <c r="D2" s="18" t="str">
        <f>'112225'!D2</f>
        <v>RALPH BAKER 1</v>
      </c>
      <c r="E2" s="18">
        <v>1</v>
      </c>
      <c r="F2" s="24">
        <v>4</v>
      </c>
      <c r="G2" s="18">
        <v>1</v>
      </c>
      <c r="H2" s="18">
        <v>24</v>
      </c>
      <c r="I2" s="18">
        <v>50</v>
      </c>
      <c r="J2" s="18">
        <v>120</v>
      </c>
      <c r="K2" s="18"/>
      <c r="L2" s="18">
        <v>32</v>
      </c>
      <c r="M2" s="19" t="s">
        <v>39</v>
      </c>
    </row>
    <row r="3" spans="1:27" ht="15.75" customHeight="1">
      <c r="A3" s="20">
        <v>2</v>
      </c>
      <c r="B3" s="15">
        <v>45988</v>
      </c>
      <c r="C3" s="21"/>
      <c r="D3" s="18" t="str">
        <f>'112225'!D3</f>
        <v>SALLY 1-12H</v>
      </c>
      <c r="E3" s="23">
        <v>1</v>
      </c>
      <c r="F3" s="24">
        <v>2</v>
      </c>
      <c r="G3" s="24">
        <v>7</v>
      </c>
      <c r="H3" s="24">
        <v>157</v>
      </c>
      <c r="I3" s="24">
        <v>147</v>
      </c>
      <c r="J3" s="24">
        <v>100</v>
      </c>
      <c r="K3" s="24">
        <v>80</v>
      </c>
      <c r="L3" s="24">
        <v>32</v>
      </c>
      <c r="M3" s="25" t="s">
        <v>39</v>
      </c>
      <c r="N3" s="26"/>
      <c r="O3" s="26"/>
      <c r="P3" s="26"/>
      <c r="Q3" s="26"/>
      <c r="R3" s="26"/>
      <c r="S3" s="26"/>
      <c r="T3" s="26"/>
      <c r="U3" s="26"/>
      <c r="V3" s="26"/>
      <c r="W3" s="26"/>
      <c r="X3" s="26"/>
      <c r="Y3" s="26"/>
      <c r="Z3" s="26"/>
      <c r="AA3" s="26"/>
    </row>
    <row r="4" spans="1:27" ht="15.75" customHeight="1">
      <c r="A4" s="20">
        <v>3</v>
      </c>
      <c r="B4" s="15">
        <v>45988</v>
      </c>
      <c r="C4" s="21"/>
      <c r="D4" s="18" t="str">
        <f>'112225'!D4</f>
        <v>ANITA 1-13H</v>
      </c>
      <c r="E4" s="24">
        <v>2</v>
      </c>
      <c r="F4" s="24">
        <v>1</v>
      </c>
      <c r="G4" s="24">
        <v>0</v>
      </c>
      <c r="H4" s="24">
        <v>87</v>
      </c>
      <c r="I4" s="24">
        <v>138</v>
      </c>
      <c r="J4" s="24">
        <v>200</v>
      </c>
      <c r="K4" s="24">
        <v>50</v>
      </c>
      <c r="L4" s="24">
        <v>35</v>
      </c>
      <c r="M4" s="27" t="s">
        <v>39</v>
      </c>
      <c r="N4" s="26"/>
      <c r="O4" s="26"/>
      <c r="P4" s="26"/>
      <c r="Q4" s="26"/>
      <c r="R4" s="26"/>
      <c r="S4" s="26"/>
      <c r="T4" s="26"/>
      <c r="U4" s="26"/>
      <c r="V4" s="26"/>
      <c r="W4" s="26"/>
      <c r="X4" s="26"/>
      <c r="Y4" s="26"/>
      <c r="Z4" s="26"/>
      <c r="AA4" s="26"/>
    </row>
    <row r="5" spans="1:27" ht="15.75" customHeight="1">
      <c r="A5" s="7">
        <v>4</v>
      </c>
      <c r="B5" s="15">
        <v>45988</v>
      </c>
      <c r="C5" s="16"/>
      <c r="D5" s="18" t="str">
        <f>'112225'!D5</f>
        <v>ARIANA 1-18H</v>
      </c>
      <c r="E5" s="18">
        <v>1</v>
      </c>
      <c r="F5" s="18">
        <v>2</v>
      </c>
      <c r="G5" s="18">
        <v>3</v>
      </c>
      <c r="H5" s="18">
        <v>121</v>
      </c>
      <c r="I5" s="18">
        <v>127</v>
      </c>
      <c r="J5" s="18">
        <v>150</v>
      </c>
      <c r="K5" s="18">
        <v>30</v>
      </c>
      <c r="L5" s="18">
        <v>42</v>
      </c>
      <c r="M5" s="19" t="s">
        <v>39</v>
      </c>
    </row>
    <row r="6" spans="1:27" ht="15.75" customHeight="1">
      <c r="A6" s="7">
        <v>5</v>
      </c>
      <c r="B6" s="15">
        <v>45988</v>
      </c>
      <c r="C6" s="16"/>
      <c r="D6" s="18" t="str">
        <f>'112225'!D6</f>
        <v>CLAY 1-6H</v>
      </c>
      <c r="E6" s="18">
        <v>1</v>
      </c>
      <c r="F6" s="18">
        <v>2</v>
      </c>
      <c r="G6" s="18">
        <v>11</v>
      </c>
      <c r="H6" s="18">
        <v>229</v>
      </c>
      <c r="I6" s="18">
        <v>0</v>
      </c>
      <c r="J6" s="18">
        <v>150</v>
      </c>
      <c r="K6" s="18">
        <v>30</v>
      </c>
      <c r="L6" s="18">
        <v>36</v>
      </c>
      <c r="M6" s="19" t="s">
        <v>39</v>
      </c>
    </row>
    <row r="7" spans="1:27" ht="14.25" customHeight="1">
      <c r="A7" s="7">
        <v>6</v>
      </c>
      <c r="B7" s="15">
        <v>45988</v>
      </c>
      <c r="C7" s="16"/>
      <c r="D7" s="18" t="str">
        <f>'112225'!D7</f>
        <v>ARIANA 1-7H</v>
      </c>
      <c r="E7" s="18">
        <v>1</v>
      </c>
      <c r="F7" s="18">
        <v>2</v>
      </c>
      <c r="G7" s="18">
        <v>0</v>
      </c>
      <c r="H7" s="18">
        <v>180</v>
      </c>
      <c r="I7" s="18">
        <v>206</v>
      </c>
      <c r="J7" s="18">
        <v>80</v>
      </c>
      <c r="K7" s="18">
        <v>50</v>
      </c>
      <c r="L7" s="18">
        <v>36</v>
      </c>
      <c r="M7" s="19" t="s">
        <v>39</v>
      </c>
    </row>
    <row r="8" spans="1:27" ht="25.5" customHeight="1">
      <c r="A8" s="7">
        <v>7</v>
      </c>
      <c r="B8" s="15">
        <v>45988</v>
      </c>
      <c r="C8" s="16"/>
      <c r="D8" s="18" t="str">
        <f>'112225'!D8</f>
        <v>PEPPER 3-4H</v>
      </c>
      <c r="E8" s="49">
        <v>1</v>
      </c>
      <c r="F8" s="18">
        <v>1</v>
      </c>
      <c r="G8" s="18">
        <v>11</v>
      </c>
      <c r="H8" s="18">
        <v>37</v>
      </c>
      <c r="I8" s="18">
        <v>0</v>
      </c>
      <c r="J8" s="18"/>
      <c r="K8" s="18"/>
      <c r="L8" s="18">
        <v>31</v>
      </c>
      <c r="M8" s="28" t="s">
        <v>79</v>
      </c>
    </row>
    <row r="9" spans="1:27" ht="37.5" customHeight="1">
      <c r="A9" s="7">
        <v>8</v>
      </c>
      <c r="B9" s="15">
        <v>45988</v>
      </c>
      <c r="C9" s="16"/>
      <c r="D9" s="18" t="str">
        <f>'112225'!D9</f>
        <v>PEPPER 4-4H</v>
      </c>
      <c r="E9" s="50"/>
      <c r="F9" s="18"/>
      <c r="G9" s="18"/>
      <c r="H9" s="18">
        <v>0</v>
      </c>
      <c r="I9" s="18">
        <v>0</v>
      </c>
      <c r="J9" s="18">
        <v>50</v>
      </c>
      <c r="K9" s="18">
        <v>20</v>
      </c>
      <c r="L9" s="18">
        <v>30</v>
      </c>
      <c r="M9" s="28" t="s">
        <v>39</v>
      </c>
    </row>
    <row r="10" spans="1:27" ht="15.75" customHeight="1">
      <c r="A10" s="20">
        <v>9</v>
      </c>
      <c r="B10" s="15">
        <v>45988</v>
      </c>
      <c r="C10" s="21"/>
      <c r="D10" s="18" t="str">
        <f>'112225'!D10</f>
        <v>BIRD 3319 1-6</v>
      </c>
      <c r="E10" s="23">
        <v>1</v>
      </c>
      <c r="F10" s="24">
        <v>1</v>
      </c>
      <c r="G10" s="24">
        <v>7</v>
      </c>
      <c r="H10" s="24">
        <v>0</v>
      </c>
      <c r="I10" s="24">
        <v>0</v>
      </c>
      <c r="J10" s="24">
        <v>150</v>
      </c>
      <c r="K10" s="24">
        <v>30</v>
      </c>
      <c r="L10" s="24">
        <v>35</v>
      </c>
      <c r="M10" s="19" t="s">
        <v>39</v>
      </c>
      <c r="N10" s="26"/>
      <c r="O10" s="26"/>
      <c r="P10" s="26"/>
      <c r="Q10" s="26"/>
      <c r="R10" s="26"/>
      <c r="S10" s="26"/>
      <c r="T10" s="26"/>
      <c r="U10" s="26"/>
      <c r="V10" s="26"/>
      <c r="W10" s="26"/>
      <c r="X10" s="26"/>
      <c r="Y10" s="26"/>
      <c r="Z10" s="26"/>
      <c r="AA10" s="26"/>
    </row>
    <row r="11" spans="1:27" ht="15.75" customHeight="1">
      <c r="A11" s="7">
        <v>10</v>
      </c>
      <c r="B11" s="15">
        <v>45988</v>
      </c>
      <c r="C11" s="16"/>
      <c r="D11" s="18" t="str">
        <f>'112225'!D11</f>
        <v>BIRD 3319 3-6</v>
      </c>
      <c r="E11" s="18"/>
      <c r="F11" s="18"/>
      <c r="G11" s="18"/>
      <c r="H11" s="18">
        <v>39</v>
      </c>
      <c r="I11" s="18">
        <v>80</v>
      </c>
      <c r="J11" s="18"/>
      <c r="K11" s="18"/>
      <c r="L11" s="18">
        <v>35</v>
      </c>
      <c r="M11" s="19" t="s">
        <v>80</v>
      </c>
    </row>
    <row r="12" spans="1:27" ht="15.75" customHeight="1">
      <c r="A12" s="7">
        <v>11</v>
      </c>
      <c r="B12" s="15">
        <v>45988</v>
      </c>
      <c r="C12" s="16"/>
      <c r="D12" s="18" t="str">
        <f>'112225'!D12</f>
        <v>JELLISON A 11-5</v>
      </c>
      <c r="E12" s="18">
        <v>1</v>
      </c>
      <c r="F12" s="18">
        <v>1</v>
      </c>
      <c r="G12" s="18">
        <v>8</v>
      </c>
      <c r="H12" s="18">
        <v>6</v>
      </c>
      <c r="I12" s="18"/>
      <c r="J12" s="18"/>
      <c r="K12" s="18"/>
      <c r="L12" s="18"/>
      <c r="M12" s="4"/>
    </row>
    <row r="13" spans="1:27" ht="15.75" customHeight="1">
      <c r="A13" s="20">
        <v>12</v>
      </c>
      <c r="B13" s="15">
        <v>45988</v>
      </c>
      <c r="C13" s="21"/>
      <c r="D13" s="18" t="str">
        <f>'112225'!D13</f>
        <v>ROCK 3319 1-16H</v>
      </c>
      <c r="E13" s="24">
        <v>1</v>
      </c>
      <c r="F13" s="24">
        <v>2</v>
      </c>
      <c r="G13" s="24">
        <v>2</v>
      </c>
      <c r="H13" s="24">
        <v>113</v>
      </c>
      <c r="I13" s="24">
        <v>30</v>
      </c>
      <c r="J13" s="24"/>
      <c r="K13" s="24"/>
      <c r="L13" s="24">
        <v>30</v>
      </c>
      <c r="M13" s="28" t="s">
        <v>81</v>
      </c>
      <c r="N13" s="26"/>
      <c r="O13" s="26"/>
      <c r="P13" s="26"/>
      <c r="Q13" s="26"/>
      <c r="R13" s="26"/>
      <c r="S13" s="26"/>
      <c r="T13" s="26"/>
      <c r="U13" s="26"/>
      <c r="V13" s="26"/>
      <c r="W13" s="26"/>
      <c r="X13" s="26"/>
      <c r="Y13" s="26"/>
      <c r="Z13" s="26"/>
      <c r="AA13" s="26"/>
    </row>
    <row r="14" spans="1:27" ht="15.75" customHeight="1">
      <c r="A14" s="7">
        <v>13</v>
      </c>
      <c r="B14" s="15">
        <v>45988</v>
      </c>
      <c r="C14" s="16"/>
      <c r="D14" s="18" t="str">
        <f>'112225'!D14</f>
        <v>Dixie 3120 1‐25 SWD</v>
      </c>
      <c r="E14" s="18"/>
      <c r="F14" s="18"/>
      <c r="G14" s="18"/>
      <c r="H14" s="18"/>
      <c r="I14" s="18"/>
      <c r="J14" s="18"/>
      <c r="K14" s="18"/>
      <c r="L14" s="18"/>
      <c r="M14" s="19">
        <v>5621193</v>
      </c>
    </row>
    <row r="15" spans="1:27" ht="15.75" customHeight="1">
      <c r="A15" s="7">
        <v>14</v>
      </c>
      <c r="B15" s="15">
        <v>45988</v>
      </c>
      <c r="C15" s="16"/>
      <c r="D15" s="18" t="str">
        <f>'112225'!D15</f>
        <v>GARLAND 1-26H</v>
      </c>
      <c r="E15" s="18">
        <v>1</v>
      </c>
      <c r="F15" s="18">
        <v>3</v>
      </c>
      <c r="G15" s="18">
        <v>1.5</v>
      </c>
      <c r="H15" s="18">
        <v>3.7</v>
      </c>
      <c r="I15" s="18">
        <v>226</v>
      </c>
      <c r="J15" s="18">
        <v>155</v>
      </c>
      <c r="K15" s="18">
        <v>7</v>
      </c>
      <c r="L15" s="18">
        <v>73</v>
      </c>
      <c r="M15" s="28" t="s">
        <v>82</v>
      </c>
    </row>
    <row r="16" spans="1:27" ht="15.75" customHeight="1">
      <c r="A16" s="7">
        <v>15</v>
      </c>
      <c r="B16" s="15">
        <v>45988</v>
      </c>
      <c r="C16" s="16"/>
      <c r="D16" s="18" t="str">
        <f>'112225'!D16</f>
        <v>PTL 1-15H</v>
      </c>
      <c r="E16" s="18">
        <v>1</v>
      </c>
      <c r="F16" s="18">
        <v>7</v>
      </c>
      <c r="G16" s="18">
        <v>0</v>
      </c>
      <c r="H16" s="18">
        <v>56</v>
      </c>
      <c r="I16" s="18">
        <v>57</v>
      </c>
      <c r="J16" s="18">
        <v>150</v>
      </c>
      <c r="K16" s="18">
        <v>50</v>
      </c>
      <c r="L16" s="18">
        <v>54</v>
      </c>
      <c r="M16" s="19" t="s">
        <v>39</v>
      </c>
    </row>
    <row r="17" spans="1:27" ht="15.75" customHeight="1">
      <c r="A17" s="7">
        <v>16</v>
      </c>
      <c r="B17" s="15">
        <v>45988</v>
      </c>
      <c r="C17" s="16"/>
      <c r="D17" s="18" t="str">
        <f>'112225'!D17</f>
        <v>GABRIEL 2-12H</v>
      </c>
      <c r="E17" s="18">
        <v>2</v>
      </c>
      <c r="F17" s="18">
        <v>9</v>
      </c>
      <c r="G17" s="18">
        <v>2</v>
      </c>
      <c r="H17" s="18">
        <v>48</v>
      </c>
      <c r="I17" s="18">
        <v>23</v>
      </c>
      <c r="J17" s="18">
        <v>150</v>
      </c>
      <c r="K17" s="18">
        <v>50</v>
      </c>
      <c r="L17" s="18">
        <v>54</v>
      </c>
      <c r="M17" s="19" t="s">
        <v>39</v>
      </c>
    </row>
    <row r="18" spans="1:27" ht="15.75" customHeight="1">
      <c r="A18" s="7">
        <v>17</v>
      </c>
      <c r="B18" s="15">
        <v>45988</v>
      </c>
      <c r="C18" s="16"/>
      <c r="D18" s="18" t="str">
        <f>'112225'!D18</f>
        <v>GABRIEL 1-12H</v>
      </c>
      <c r="E18" s="18">
        <v>2</v>
      </c>
      <c r="F18" s="18">
        <v>4</v>
      </c>
      <c r="G18" s="18">
        <v>1</v>
      </c>
      <c r="H18" s="18">
        <v>47</v>
      </c>
      <c r="I18" s="18">
        <v>22</v>
      </c>
      <c r="J18" s="18">
        <v>100</v>
      </c>
      <c r="K18" s="18">
        <v>50</v>
      </c>
      <c r="L18" s="18">
        <v>51</v>
      </c>
      <c r="M18" s="19" t="s">
        <v>39</v>
      </c>
    </row>
    <row r="19" spans="1:27" ht="15.75" customHeight="1">
      <c r="A19" s="7">
        <v>18</v>
      </c>
      <c r="B19" s="15">
        <v>45988</v>
      </c>
      <c r="C19" s="16"/>
      <c r="D19" s="18" t="str">
        <f>'112225'!D19</f>
        <v>SEAN 1-18H</v>
      </c>
      <c r="E19" s="18">
        <v>1</v>
      </c>
      <c r="F19" s="18">
        <v>8</v>
      </c>
      <c r="G19" s="18">
        <v>0</v>
      </c>
      <c r="H19" s="18">
        <v>55</v>
      </c>
      <c r="I19" s="18">
        <v>54</v>
      </c>
      <c r="J19" s="18">
        <v>150</v>
      </c>
      <c r="K19" s="18">
        <v>50</v>
      </c>
      <c r="L19" s="18">
        <v>51</v>
      </c>
      <c r="M19" s="19" t="s">
        <v>39</v>
      </c>
    </row>
    <row r="20" spans="1:27" ht="15.75" customHeight="1">
      <c r="A20" s="7">
        <v>19</v>
      </c>
      <c r="B20" s="15">
        <v>45988</v>
      </c>
      <c r="C20" s="16"/>
      <c r="D20" s="18" t="str">
        <f>'112225'!D20</f>
        <v>SEAN 3119 3-18H</v>
      </c>
      <c r="E20" s="18">
        <v>1</v>
      </c>
      <c r="F20" s="18">
        <v>2</v>
      </c>
      <c r="G20" s="18">
        <v>0</v>
      </c>
      <c r="H20" s="18"/>
      <c r="I20" s="18"/>
      <c r="J20" s="18">
        <v>100</v>
      </c>
      <c r="K20" s="18">
        <v>50</v>
      </c>
      <c r="L20" s="18">
        <v>52</v>
      </c>
      <c r="M20" s="19" t="s">
        <v>39</v>
      </c>
    </row>
    <row r="21" spans="1:27" ht="15.75" customHeight="1">
      <c r="A21" s="7">
        <v>20</v>
      </c>
      <c r="B21" s="15">
        <v>45988</v>
      </c>
      <c r="C21" s="16"/>
      <c r="D21" s="18" t="str">
        <f>'112225'!D21</f>
        <v>ELLIS 2-19H</v>
      </c>
      <c r="E21" s="18">
        <v>1</v>
      </c>
      <c r="F21" s="18">
        <v>5</v>
      </c>
      <c r="G21" s="18">
        <v>7</v>
      </c>
      <c r="H21" s="18">
        <v>85</v>
      </c>
      <c r="I21" s="18">
        <v>95</v>
      </c>
      <c r="J21" s="18">
        <v>50</v>
      </c>
      <c r="K21" s="18">
        <v>50</v>
      </c>
      <c r="L21" s="18">
        <v>56</v>
      </c>
      <c r="M21" s="19" t="s">
        <v>39</v>
      </c>
    </row>
    <row r="22" spans="1:27" ht="15.75" customHeight="1">
      <c r="A22" s="7">
        <v>21</v>
      </c>
      <c r="B22" s="15">
        <v>45988</v>
      </c>
      <c r="C22" s="16"/>
      <c r="D22" s="18" t="str">
        <f>'112225'!D22</f>
        <v>BROTHERS 1-6H</v>
      </c>
      <c r="E22" s="18">
        <v>1</v>
      </c>
      <c r="F22" s="18">
        <v>4</v>
      </c>
      <c r="G22" s="18">
        <v>6</v>
      </c>
      <c r="H22" s="18">
        <v>1</v>
      </c>
      <c r="I22" s="18">
        <v>122</v>
      </c>
      <c r="J22" s="18">
        <v>100</v>
      </c>
      <c r="K22" s="18">
        <v>50</v>
      </c>
      <c r="L22" s="18">
        <v>70</v>
      </c>
      <c r="M22" s="28" t="s">
        <v>39</v>
      </c>
    </row>
    <row r="23" spans="1:27" ht="15.75" customHeight="1">
      <c r="A23" s="7">
        <v>22</v>
      </c>
      <c r="B23" s="15">
        <v>45988</v>
      </c>
      <c r="C23" s="16"/>
      <c r="D23" s="18" t="str">
        <f>'112225'!D23</f>
        <v>BROTHERS 2-6H</v>
      </c>
      <c r="E23" s="18">
        <v>1</v>
      </c>
      <c r="F23" s="18">
        <v>3</v>
      </c>
      <c r="G23" s="18">
        <v>2</v>
      </c>
      <c r="H23" s="18">
        <v>100</v>
      </c>
      <c r="I23" s="18">
        <v>104</v>
      </c>
      <c r="J23" s="18"/>
      <c r="K23" s="18"/>
      <c r="L23" s="18">
        <v>84</v>
      </c>
      <c r="M23" s="19" t="s">
        <v>39</v>
      </c>
    </row>
    <row r="24" spans="1:27" ht="15.75" customHeight="1">
      <c r="A24" s="20">
        <v>23</v>
      </c>
      <c r="B24" s="15">
        <v>45988</v>
      </c>
      <c r="C24" s="21"/>
      <c r="D24" s="18" t="str">
        <f>'112225'!D24</f>
        <v>SARAH 1-34H</v>
      </c>
      <c r="E24" s="23">
        <v>1</v>
      </c>
      <c r="F24" s="24">
        <v>5</v>
      </c>
      <c r="G24" s="24">
        <v>2</v>
      </c>
      <c r="H24" s="24">
        <v>40</v>
      </c>
      <c r="I24" s="24">
        <v>0</v>
      </c>
      <c r="J24" s="24"/>
      <c r="K24" s="24"/>
      <c r="L24" s="24">
        <v>50</v>
      </c>
      <c r="M24" s="27" t="s">
        <v>83</v>
      </c>
      <c r="N24" s="32"/>
      <c r="O24" s="26"/>
      <c r="P24" s="26"/>
      <c r="Q24" s="26"/>
      <c r="R24" s="26"/>
      <c r="S24" s="26"/>
      <c r="T24" s="26"/>
      <c r="U24" s="26"/>
      <c r="V24" s="26"/>
      <c r="W24" s="26"/>
      <c r="X24" s="26"/>
      <c r="Y24" s="26"/>
      <c r="Z24" s="26"/>
      <c r="AA24" s="26"/>
    </row>
    <row r="25" spans="1:27" ht="15.75" customHeight="1">
      <c r="A25" s="20">
        <v>24</v>
      </c>
      <c r="B25" s="15">
        <v>45988</v>
      </c>
      <c r="C25" s="21"/>
      <c r="D25" s="18" t="str">
        <f>'112225'!D25</f>
        <v>SARAH 2-34H</v>
      </c>
      <c r="E25" s="23">
        <v>1</v>
      </c>
      <c r="F25" s="24">
        <v>4</v>
      </c>
      <c r="G25" s="24">
        <v>0</v>
      </c>
      <c r="H25" s="24">
        <v>44</v>
      </c>
      <c r="I25" s="24">
        <v>51</v>
      </c>
      <c r="J25" s="24"/>
      <c r="K25" s="24"/>
      <c r="L25" s="24">
        <v>52</v>
      </c>
      <c r="M25" s="27" t="s">
        <v>39</v>
      </c>
      <c r="N25" s="32"/>
      <c r="O25" s="26"/>
      <c r="P25" s="26"/>
      <c r="Q25" s="26"/>
      <c r="R25" s="26"/>
      <c r="S25" s="26"/>
      <c r="T25" s="26"/>
      <c r="U25" s="26"/>
      <c r="V25" s="26"/>
      <c r="W25" s="26"/>
      <c r="X25" s="26"/>
      <c r="Y25" s="26"/>
      <c r="Z25" s="26"/>
      <c r="AA25" s="26"/>
    </row>
    <row r="26" spans="1:27" ht="15.75" customHeight="1">
      <c r="A26" s="7">
        <v>25</v>
      </c>
      <c r="B26" s="15">
        <v>45988</v>
      </c>
      <c r="C26" s="16"/>
      <c r="D26" s="18" t="str">
        <f>'112225'!D26</f>
        <v>WANDA 1-2H 1L</v>
      </c>
      <c r="E26" s="5">
        <v>1</v>
      </c>
      <c r="F26" s="18">
        <v>4</v>
      </c>
      <c r="G26" s="18">
        <v>3.5</v>
      </c>
      <c r="H26" s="18">
        <v>228</v>
      </c>
      <c r="I26" s="18">
        <v>151</v>
      </c>
      <c r="J26" s="18"/>
      <c r="K26" s="18"/>
      <c r="L26" s="18">
        <v>50</v>
      </c>
      <c r="M26" s="28" t="s">
        <v>39</v>
      </c>
    </row>
    <row r="27" spans="1:27" ht="15.75" customHeight="1">
      <c r="A27" s="7">
        <v>26</v>
      </c>
      <c r="B27" s="15">
        <v>45988</v>
      </c>
      <c r="C27" s="29"/>
      <c r="D27" s="18" t="str">
        <f>'112225'!D27</f>
        <v>Yankee 3317 1-27 SWD</v>
      </c>
      <c r="E27" s="18"/>
      <c r="F27" s="18"/>
      <c r="G27" s="18"/>
      <c r="M27" s="19">
        <v>7761219</v>
      </c>
    </row>
    <row r="28" spans="1:27" ht="15.75" customHeight="1">
      <c r="A28" s="7">
        <v>27</v>
      </c>
      <c r="B28" s="15">
        <v>45988</v>
      </c>
      <c r="C28" s="18"/>
      <c r="D28" s="18" t="s">
        <v>179</v>
      </c>
      <c r="E28" s="18"/>
      <c r="F28" s="18"/>
      <c r="G28" s="18"/>
      <c r="H28" s="18">
        <v>11</v>
      </c>
      <c r="I28" s="18">
        <v>1</v>
      </c>
      <c r="J28" s="18">
        <v>19</v>
      </c>
      <c r="K28" s="18">
        <v>21</v>
      </c>
      <c r="L28" s="18">
        <v>36</v>
      </c>
      <c r="M28" s="19" t="s">
        <v>84</v>
      </c>
    </row>
    <row r="29" spans="1:27" ht="15.75" customHeight="1">
      <c r="A29" s="7">
        <v>28</v>
      </c>
      <c r="B29" s="15">
        <v>45988</v>
      </c>
      <c r="C29" s="18"/>
      <c r="D29" s="18" t="s">
        <v>77</v>
      </c>
      <c r="E29" s="18"/>
      <c r="F29" s="18"/>
      <c r="G29" s="18"/>
      <c r="H29" s="18"/>
      <c r="I29" s="18"/>
      <c r="J29" s="18"/>
      <c r="K29" s="18"/>
      <c r="L29" s="18"/>
      <c r="M29" s="28" t="s">
        <v>85</v>
      </c>
    </row>
    <row r="30" spans="1:27" ht="15.75" customHeight="1">
      <c r="A30" s="7">
        <v>29</v>
      </c>
      <c r="B30" s="15"/>
      <c r="C30" s="18"/>
      <c r="D30" s="18"/>
      <c r="E30" s="18"/>
      <c r="F30" s="18"/>
      <c r="G30" s="18"/>
      <c r="H30" s="18"/>
      <c r="I30" s="18"/>
      <c r="J30" s="18"/>
      <c r="K30" s="18"/>
      <c r="L30" s="18"/>
      <c r="M30" s="19"/>
    </row>
    <row r="31" spans="1:27" ht="15.75" customHeight="1">
      <c r="A31" s="7">
        <v>30</v>
      </c>
      <c r="B31" s="15"/>
      <c r="C31" s="18"/>
      <c r="D31" s="18"/>
      <c r="E31" s="18"/>
      <c r="F31" s="18"/>
      <c r="G31" s="18"/>
      <c r="H31" s="18"/>
      <c r="I31" s="18"/>
      <c r="J31" s="18"/>
      <c r="K31" s="18"/>
      <c r="L31" s="18"/>
      <c r="M31" s="19"/>
    </row>
    <row r="32" spans="1:27" ht="15.75" customHeight="1">
      <c r="A32" s="7">
        <v>31</v>
      </c>
      <c r="B32" s="15"/>
      <c r="C32" s="18"/>
      <c r="D32" s="18"/>
      <c r="E32" s="18"/>
      <c r="F32" s="18"/>
      <c r="G32" s="18"/>
      <c r="H32" s="18"/>
      <c r="I32" s="18"/>
      <c r="J32" s="18"/>
      <c r="K32" s="18"/>
      <c r="L32" s="18"/>
      <c r="M32" s="19"/>
    </row>
    <row r="33" spans="1:13" ht="15.75" customHeight="1">
      <c r="A33" s="7">
        <v>32</v>
      </c>
      <c r="B33" s="15"/>
      <c r="C33" s="18"/>
      <c r="D33" s="18"/>
      <c r="E33" s="18"/>
      <c r="F33" s="18"/>
      <c r="G33" s="18"/>
      <c r="H33" s="18"/>
      <c r="I33" s="18"/>
      <c r="J33" s="18"/>
      <c r="K33" s="18"/>
      <c r="L33" s="18"/>
      <c r="M33" s="19"/>
    </row>
    <row r="34" spans="1:13" ht="15.75" customHeight="1">
      <c r="A34" s="7">
        <v>33</v>
      </c>
      <c r="B34" s="15"/>
      <c r="C34" s="18"/>
      <c r="D34" s="18"/>
      <c r="E34" s="18"/>
      <c r="F34" s="18"/>
      <c r="G34" s="18"/>
      <c r="H34" s="18"/>
      <c r="I34" s="18"/>
      <c r="J34" s="18"/>
      <c r="K34" s="18"/>
      <c r="L34" s="18"/>
      <c r="M34" s="19"/>
    </row>
    <row r="35" spans="1:13" ht="15.75" customHeight="1">
      <c r="A35" s="7">
        <v>34</v>
      </c>
      <c r="B35" s="15"/>
      <c r="C35" s="18"/>
      <c r="D35" s="18"/>
      <c r="E35" s="18"/>
      <c r="F35" s="18"/>
      <c r="G35" s="18"/>
      <c r="H35" s="18"/>
      <c r="I35" s="18"/>
      <c r="J35" s="18"/>
      <c r="K35" s="18"/>
      <c r="L35" s="18"/>
      <c r="M35" s="19"/>
    </row>
    <row r="36" spans="1:13" ht="15.75" customHeight="1">
      <c r="A36" s="7">
        <v>35</v>
      </c>
      <c r="B36" s="15"/>
      <c r="C36" s="18"/>
      <c r="D36" s="18"/>
      <c r="E36" s="18"/>
      <c r="F36" s="18"/>
      <c r="G36" s="18"/>
      <c r="H36" s="18"/>
      <c r="I36" s="18"/>
      <c r="J36" s="18"/>
      <c r="K36" s="18"/>
      <c r="L36" s="18"/>
      <c r="M36" s="19"/>
    </row>
    <row r="37" spans="1:13" ht="15.75" customHeight="1">
      <c r="A37" s="7">
        <v>36</v>
      </c>
      <c r="B37" s="15"/>
      <c r="C37" s="18"/>
      <c r="D37" s="18"/>
      <c r="E37" s="18"/>
      <c r="F37" s="18"/>
      <c r="G37" s="18"/>
      <c r="H37" s="18"/>
      <c r="I37" s="18"/>
      <c r="J37" s="18"/>
      <c r="K37" s="18"/>
      <c r="L37" s="18"/>
      <c r="M37" s="19"/>
    </row>
    <row r="38" spans="1:13" ht="15.75" customHeight="1">
      <c r="A38" s="4"/>
      <c r="B38" s="6"/>
      <c r="C38" s="11"/>
      <c r="D38" s="11"/>
      <c r="E38" s="11"/>
      <c r="F38" s="11"/>
      <c r="G38" s="30"/>
      <c r="H38" s="30">
        <f>SUM(H1:H37)</f>
        <v>1711.7</v>
      </c>
      <c r="I38" s="11"/>
      <c r="J38" s="11"/>
      <c r="K38" s="11"/>
      <c r="L38" s="11"/>
      <c r="M38" s="4"/>
    </row>
    <row r="39" spans="1:13" ht="15.75" customHeight="1">
      <c r="B39" s="11"/>
      <c r="C39" s="11"/>
      <c r="D39" s="11"/>
      <c r="E39" s="11"/>
      <c r="F39" s="11"/>
      <c r="G39" s="11"/>
      <c r="H39" s="11"/>
      <c r="I39" s="11"/>
      <c r="J39" s="11"/>
      <c r="K39" s="11"/>
      <c r="L39" s="11"/>
    </row>
    <row r="40" spans="1:13" ht="15.75" customHeight="1">
      <c r="B40" s="11"/>
      <c r="C40" s="11"/>
      <c r="D40" s="11"/>
      <c r="E40" s="11"/>
      <c r="F40" s="11"/>
      <c r="G40" s="11"/>
      <c r="H40" s="11"/>
      <c r="I40" s="11"/>
      <c r="J40" s="11"/>
      <c r="K40" s="11"/>
      <c r="L40" s="11"/>
    </row>
    <row r="41" spans="1:13" ht="15.75" customHeight="1">
      <c r="B41" s="11"/>
      <c r="C41" s="11"/>
      <c r="D41" s="11"/>
      <c r="E41" s="11"/>
      <c r="F41" s="11"/>
      <c r="G41" s="11"/>
      <c r="H41" s="11"/>
      <c r="I41" s="11"/>
      <c r="J41" s="11"/>
      <c r="K41" s="11"/>
      <c r="L41" s="11"/>
    </row>
    <row r="42" spans="1:13" ht="15.75" customHeight="1">
      <c r="B42" s="11"/>
      <c r="C42" s="11"/>
      <c r="D42" s="11"/>
      <c r="E42" s="11"/>
      <c r="F42" s="11"/>
      <c r="G42" s="11"/>
      <c r="H42" s="11"/>
      <c r="I42" s="11"/>
      <c r="J42" s="11"/>
      <c r="K42" s="11"/>
      <c r="L42" s="11"/>
    </row>
    <row r="43" spans="1:13" ht="15.75" customHeight="1">
      <c r="B43" s="11"/>
      <c r="C43" s="11"/>
      <c r="D43" s="11"/>
      <c r="E43" s="11"/>
      <c r="F43" s="11"/>
      <c r="G43" s="11"/>
      <c r="H43" s="11"/>
      <c r="I43" s="11"/>
      <c r="J43" s="11"/>
      <c r="K43" s="11"/>
      <c r="L43" s="11"/>
    </row>
    <row r="44" spans="1:13" ht="15.75" customHeight="1">
      <c r="B44" s="11"/>
      <c r="C44" s="11"/>
      <c r="D44" s="11"/>
      <c r="E44" s="11"/>
      <c r="F44" s="11"/>
      <c r="G44" s="11"/>
      <c r="H44" s="11"/>
      <c r="I44" s="11"/>
      <c r="J44" s="11"/>
      <c r="K44" s="11"/>
      <c r="L44" s="11"/>
    </row>
    <row r="45" spans="1:13" ht="15.75" customHeight="1">
      <c r="B45" s="11"/>
      <c r="C45" s="11"/>
      <c r="D45" s="11"/>
      <c r="E45" s="11"/>
      <c r="F45" s="11"/>
      <c r="G45" s="11"/>
      <c r="H45" s="11"/>
      <c r="I45" s="11"/>
      <c r="J45" s="11"/>
      <c r="K45" s="11"/>
      <c r="L45" s="11"/>
    </row>
    <row r="46" spans="1:13" ht="15.75" customHeight="1">
      <c r="B46" s="11"/>
      <c r="C46" s="11"/>
      <c r="D46" s="11"/>
      <c r="E46" s="11"/>
      <c r="F46" s="11"/>
      <c r="G46" s="11"/>
      <c r="H46" s="11"/>
      <c r="I46" s="11"/>
      <c r="J46" s="11"/>
      <c r="K46" s="11"/>
      <c r="L46" s="11"/>
    </row>
    <row r="47" spans="1:13" ht="15.75" customHeight="1">
      <c r="B47" s="11"/>
      <c r="C47" s="11"/>
      <c r="D47" s="11"/>
      <c r="E47" s="11"/>
      <c r="F47" s="11"/>
      <c r="G47" s="11"/>
      <c r="H47" s="11"/>
      <c r="I47" s="11"/>
      <c r="J47" s="11"/>
      <c r="K47" s="11"/>
      <c r="L47" s="11"/>
    </row>
    <row r="48" spans="1:13" ht="15.75" customHeight="1">
      <c r="B48" s="11"/>
      <c r="C48" s="11"/>
      <c r="D48" s="11"/>
      <c r="E48" s="11"/>
      <c r="F48" s="11"/>
      <c r="G48" s="11"/>
      <c r="H48" s="11"/>
      <c r="I48" s="11"/>
      <c r="J48" s="11"/>
      <c r="K48" s="11"/>
      <c r="L48" s="11"/>
    </row>
    <row r="49" spans="2:12" ht="15.75" customHeight="1">
      <c r="B49" s="11"/>
      <c r="C49" s="11"/>
      <c r="D49" s="11"/>
      <c r="E49" s="11"/>
      <c r="F49" s="11"/>
      <c r="G49" s="11"/>
      <c r="H49" s="11"/>
      <c r="I49" s="11"/>
      <c r="J49" s="11"/>
      <c r="K49" s="11"/>
      <c r="L49" s="11"/>
    </row>
    <row r="50" spans="2:12" ht="15.75" customHeight="1">
      <c r="B50" s="11"/>
      <c r="C50" s="11"/>
      <c r="D50" s="11"/>
      <c r="E50" s="11"/>
      <c r="F50" s="11"/>
      <c r="G50" s="11"/>
      <c r="H50" s="11"/>
      <c r="I50" s="11"/>
      <c r="J50" s="11"/>
      <c r="K50" s="11"/>
      <c r="L50" s="11"/>
    </row>
    <row r="51" spans="2:12" ht="15.75" customHeight="1">
      <c r="B51" s="11"/>
      <c r="C51" s="11"/>
      <c r="D51" s="11"/>
      <c r="E51" s="11"/>
      <c r="F51" s="11"/>
      <c r="G51" s="11"/>
      <c r="H51" s="11"/>
      <c r="I51" s="11"/>
      <c r="J51" s="11"/>
      <c r="K51" s="11"/>
      <c r="L51" s="11"/>
    </row>
    <row r="52" spans="2:12" ht="15.75" customHeight="1">
      <c r="B52" s="11"/>
      <c r="C52" s="11"/>
      <c r="D52" s="11"/>
      <c r="E52" s="11"/>
      <c r="F52" s="11"/>
      <c r="G52" s="11"/>
      <c r="H52" s="11"/>
      <c r="I52" s="11"/>
      <c r="J52" s="11"/>
      <c r="K52" s="11"/>
      <c r="L52" s="11"/>
    </row>
    <row r="53" spans="2:12" ht="15.75" customHeight="1">
      <c r="B53" s="11"/>
      <c r="C53" s="11"/>
      <c r="D53" s="11"/>
      <c r="E53" s="11"/>
      <c r="F53" s="11"/>
      <c r="G53" s="11"/>
      <c r="H53" s="11"/>
      <c r="I53" s="11"/>
      <c r="J53" s="11"/>
      <c r="K53" s="11"/>
      <c r="L53" s="11"/>
    </row>
    <row r="54" spans="2:12" ht="15.75" customHeight="1">
      <c r="B54" s="11"/>
      <c r="C54" s="11"/>
      <c r="D54" s="11"/>
      <c r="E54" s="11"/>
      <c r="F54" s="11"/>
      <c r="G54" s="11"/>
      <c r="H54" s="11"/>
      <c r="I54" s="11"/>
      <c r="J54" s="11"/>
      <c r="K54" s="11"/>
      <c r="L54" s="11"/>
    </row>
    <row r="55" spans="2:12" ht="15.75" customHeight="1">
      <c r="B55" s="11"/>
      <c r="C55" s="11"/>
      <c r="D55" s="11"/>
      <c r="E55" s="11"/>
      <c r="F55" s="11"/>
      <c r="G55" s="11"/>
      <c r="H55" s="11"/>
      <c r="I55" s="11"/>
      <c r="J55" s="11"/>
      <c r="K55" s="11"/>
      <c r="L55" s="11"/>
    </row>
    <row r="56" spans="2:12" ht="15.75" customHeight="1">
      <c r="B56" s="11"/>
      <c r="C56" s="11"/>
      <c r="D56" s="11"/>
      <c r="E56" s="11"/>
      <c r="F56" s="11"/>
      <c r="G56" s="11"/>
      <c r="H56" s="11"/>
      <c r="I56" s="11"/>
      <c r="J56" s="11"/>
      <c r="K56" s="11"/>
      <c r="L56" s="11"/>
    </row>
    <row r="57" spans="2:12" ht="15.75" customHeight="1">
      <c r="B57" s="11"/>
      <c r="C57" s="11"/>
      <c r="D57" s="11"/>
      <c r="E57" s="11"/>
      <c r="F57" s="11"/>
      <c r="G57" s="11"/>
      <c r="H57" s="11"/>
      <c r="I57" s="11"/>
      <c r="J57" s="11"/>
      <c r="K57" s="11"/>
      <c r="L57" s="11"/>
    </row>
    <row r="58" spans="2:12" ht="15.75" customHeight="1">
      <c r="B58" s="11"/>
      <c r="C58" s="11"/>
      <c r="D58" s="11"/>
      <c r="E58" s="11"/>
      <c r="F58" s="11"/>
      <c r="G58" s="11"/>
      <c r="H58" s="11"/>
      <c r="I58" s="11"/>
      <c r="J58" s="11"/>
      <c r="K58" s="11"/>
      <c r="L58" s="11"/>
    </row>
    <row r="59" spans="2:12" ht="15.75" customHeight="1">
      <c r="B59" s="11"/>
      <c r="C59" s="11"/>
      <c r="D59" s="11"/>
      <c r="E59" s="11"/>
      <c r="F59" s="11"/>
      <c r="G59" s="11"/>
      <c r="H59" s="11"/>
      <c r="I59" s="11"/>
      <c r="J59" s="11"/>
      <c r="K59" s="11"/>
      <c r="L59" s="11"/>
    </row>
    <row r="60" spans="2:12" ht="15.75" customHeight="1">
      <c r="B60" s="11"/>
      <c r="C60" s="11"/>
      <c r="D60" s="11"/>
      <c r="E60" s="11"/>
      <c r="F60" s="11"/>
      <c r="G60" s="11"/>
      <c r="H60" s="11"/>
      <c r="I60" s="11"/>
      <c r="J60" s="11"/>
      <c r="K60" s="11"/>
      <c r="L60" s="11"/>
    </row>
    <row r="61" spans="2:12" ht="15.75" customHeight="1">
      <c r="B61" s="11"/>
      <c r="C61" s="11"/>
      <c r="D61" s="11"/>
      <c r="E61" s="11"/>
      <c r="F61" s="11"/>
      <c r="G61" s="11"/>
      <c r="H61" s="11"/>
      <c r="I61" s="11"/>
      <c r="J61" s="11"/>
      <c r="K61" s="11"/>
      <c r="L61" s="11"/>
    </row>
    <row r="62" spans="2:12" ht="15.75" customHeight="1">
      <c r="B62" s="11"/>
      <c r="C62" s="11"/>
      <c r="D62" s="11"/>
      <c r="E62" s="11"/>
      <c r="F62" s="11"/>
      <c r="G62" s="11"/>
      <c r="H62" s="11"/>
      <c r="I62" s="11"/>
      <c r="J62" s="11"/>
      <c r="K62" s="11"/>
      <c r="L62" s="11"/>
    </row>
    <row r="63" spans="2:12" ht="15.75" customHeight="1">
      <c r="B63" s="11"/>
      <c r="C63" s="11"/>
      <c r="D63" s="11"/>
      <c r="E63" s="11"/>
      <c r="F63" s="11"/>
      <c r="G63" s="11"/>
      <c r="H63" s="11"/>
      <c r="I63" s="11"/>
      <c r="J63" s="11"/>
      <c r="K63" s="11"/>
      <c r="L63" s="11"/>
    </row>
    <row r="64" spans="2:12" ht="15.75" customHeight="1">
      <c r="B64" s="11"/>
      <c r="C64" s="11"/>
      <c r="D64" s="11"/>
      <c r="E64" s="11"/>
      <c r="F64" s="11"/>
      <c r="G64" s="11"/>
      <c r="H64" s="11"/>
      <c r="I64" s="11"/>
      <c r="J64" s="11"/>
      <c r="K64" s="11"/>
      <c r="L64" s="11"/>
    </row>
    <row r="65" spans="2:12" ht="15.75" customHeight="1">
      <c r="B65" s="11"/>
      <c r="C65" s="11"/>
      <c r="D65" s="11"/>
      <c r="E65" s="11"/>
      <c r="F65" s="11"/>
      <c r="G65" s="11"/>
      <c r="H65" s="11"/>
      <c r="I65" s="11"/>
      <c r="J65" s="11"/>
      <c r="K65" s="11"/>
      <c r="L65" s="11"/>
    </row>
    <row r="66" spans="2:12" ht="15.75" customHeight="1">
      <c r="B66" s="11"/>
      <c r="C66" s="11"/>
      <c r="D66" s="11"/>
      <c r="E66" s="11"/>
      <c r="F66" s="11"/>
      <c r="G66" s="11"/>
      <c r="H66" s="11"/>
      <c r="I66" s="11"/>
      <c r="J66" s="11"/>
      <c r="K66" s="11"/>
      <c r="L66" s="11"/>
    </row>
    <row r="67" spans="2:12" ht="15.75" customHeight="1">
      <c r="B67" s="11"/>
      <c r="C67" s="11"/>
      <c r="D67" s="11"/>
      <c r="E67" s="11"/>
      <c r="F67" s="11"/>
      <c r="G67" s="11"/>
      <c r="H67" s="11"/>
      <c r="I67" s="11"/>
      <c r="J67" s="11"/>
      <c r="K67" s="11"/>
      <c r="L67" s="11"/>
    </row>
    <row r="68" spans="2:12" ht="15.75" customHeight="1">
      <c r="B68" s="11"/>
      <c r="C68" s="11"/>
      <c r="D68" s="11"/>
      <c r="E68" s="11"/>
      <c r="F68" s="11"/>
      <c r="G68" s="11"/>
      <c r="H68" s="11"/>
      <c r="I68" s="11"/>
      <c r="J68" s="11"/>
      <c r="K68" s="11"/>
      <c r="L68" s="11"/>
    </row>
    <row r="69" spans="2:12" ht="15.75" customHeight="1">
      <c r="B69" s="11"/>
      <c r="C69" s="11"/>
      <c r="D69" s="11"/>
      <c r="E69" s="11"/>
      <c r="F69" s="11"/>
      <c r="G69" s="11"/>
      <c r="H69" s="11"/>
      <c r="I69" s="11"/>
      <c r="J69" s="11"/>
      <c r="K69" s="11"/>
      <c r="L69" s="11"/>
    </row>
    <row r="70" spans="2:12" ht="15.75" customHeight="1">
      <c r="B70" s="11"/>
      <c r="C70" s="11"/>
      <c r="D70" s="11"/>
      <c r="E70" s="11"/>
      <c r="F70" s="11"/>
      <c r="G70" s="11"/>
      <c r="H70" s="11"/>
      <c r="I70" s="11"/>
      <c r="J70" s="11"/>
      <c r="K70" s="11"/>
      <c r="L70" s="11"/>
    </row>
    <row r="71" spans="2:12" ht="15.75" customHeight="1">
      <c r="B71" s="11"/>
      <c r="C71" s="11"/>
      <c r="D71" s="11"/>
      <c r="E71" s="11"/>
      <c r="F71" s="11"/>
      <c r="G71" s="11"/>
      <c r="H71" s="11"/>
      <c r="I71" s="11"/>
      <c r="J71" s="11"/>
      <c r="K71" s="11"/>
      <c r="L71" s="11"/>
    </row>
    <row r="72" spans="2:12" ht="15.75" customHeight="1">
      <c r="B72" s="11"/>
      <c r="C72" s="11"/>
      <c r="D72" s="11"/>
      <c r="E72" s="11"/>
      <c r="F72" s="11"/>
      <c r="G72" s="11"/>
      <c r="H72" s="11"/>
      <c r="I72" s="11"/>
      <c r="J72" s="11"/>
      <c r="K72" s="11"/>
      <c r="L72" s="11"/>
    </row>
    <row r="73" spans="2:12" ht="15.75" customHeight="1">
      <c r="B73" s="11"/>
      <c r="C73" s="11"/>
      <c r="D73" s="11"/>
      <c r="E73" s="11"/>
      <c r="F73" s="11"/>
      <c r="G73" s="11"/>
      <c r="H73" s="11"/>
      <c r="I73" s="11"/>
      <c r="J73" s="11"/>
      <c r="K73" s="11"/>
      <c r="L73" s="11"/>
    </row>
    <row r="74" spans="2:12" ht="15.75" customHeight="1">
      <c r="B74" s="11"/>
      <c r="C74" s="11"/>
      <c r="D74" s="11"/>
      <c r="E74" s="11"/>
      <c r="F74" s="11"/>
      <c r="G74" s="11"/>
      <c r="H74" s="11"/>
      <c r="I74" s="11"/>
      <c r="J74" s="11"/>
      <c r="K74" s="11"/>
      <c r="L74" s="11"/>
    </row>
    <row r="75" spans="2:12" ht="15.75" customHeight="1">
      <c r="B75" s="11"/>
      <c r="C75" s="11"/>
      <c r="D75" s="11"/>
      <c r="E75" s="11"/>
      <c r="F75" s="11"/>
      <c r="G75" s="11"/>
      <c r="H75" s="11"/>
      <c r="I75" s="11"/>
      <c r="J75" s="11"/>
      <c r="K75" s="11"/>
      <c r="L75" s="11"/>
    </row>
    <row r="76" spans="2:12" ht="15.75" customHeight="1">
      <c r="B76" s="11"/>
      <c r="C76" s="11"/>
      <c r="D76" s="11"/>
      <c r="E76" s="11"/>
      <c r="F76" s="11"/>
      <c r="G76" s="11"/>
      <c r="H76" s="11"/>
      <c r="I76" s="11"/>
      <c r="J76" s="11"/>
      <c r="K76" s="11"/>
      <c r="L76" s="11"/>
    </row>
    <row r="77" spans="2:12" ht="15.75" customHeight="1">
      <c r="B77" s="11"/>
      <c r="C77" s="11"/>
      <c r="D77" s="11"/>
      <c r="E77" s="11"/>
      <c r="F77" s="11"/>
      <c r="G77" s="11"/>
      <c r="H77" s="11"/>
      <c r="I77" s="11"/>
      <c r="J77" s="11"/>
      <c r="K77" s="11"/>
      <c r="L77" s="11"/>
    </row>
    <row r="78" spans="2:12" ht="15.75" customHeight="1">
      <c r="B78" s="11"/>
      <c r="C78" s="11"/>
      <c r="D78" s="11"/>
      <c r="E78" s="11"/>
      <c r="F78" s="11"/>
      <c r="G78" s="11"/>
      <c r="H78" s="11"/>
      <c r="I78" s="11"/>
      <c r="J78" s="11"/>
      <c r="K78" s="11"/>
      <c r="L78" s="11"/>
    </row>
    <row r="79" spans="2:12" ht="15.75" customHeight="1">
      <c r="B79" s="11"/>
      <c r="C79" s="11"/>
      <c r="D79" s="11"/>
      <c r="E79" s="11"/>
      <c r="F79" s="11"/>
      <c r="G79" s="11"/>
      <c r="H79" s="11"/>
      <c r="I79" s="11"/>
      <c r="J79" s="11"/>
      <c r="K79" s="11"/>
      <c r="L79" s="11"/>
    </row>
    <row r="80" spans="2:12" ht="15.75" customHeight="1">
      <c r="B80" s="11"/>
      <c r="C80" s="11"/>
      <c r="D80" s="11"/>
      <c r="E80" s="11"/>
      <c r="F80" s="11"/>
      <c r="G80" s="11"/>
      <c r="H80" s="11"/>
      <c r="I80" s="11"/>
      <c r="J80" s="11"/>
      <c r="K80" s="11"/>
      <c r="L80" s="11"/>
    </row>
    <row r="81" spans="2:12" ht="15.75" customHeight="1">
      <c r="B81" s="11"/>
      <c r="C81" s="11"/>
      <c r="D81" s="11"/>
      <c r="E81" s="11"/>
      <c r="F81" s="11"/>
      <c r="G81" s="11"/>
      <c r="H81" s="11"/>
      <c r="I81" s="11"/>
      <c r="J81" s="11"/>
      <c r="K81" s="11"/>
      <c r="L81" s="11"/>
    </row>
    <row r="82" spans="2:12" ht="15.75" customHeight="1">
      <c r="B82" s="11"/>
      <c r="C82" s="11"/>
      <c r="D82" s="11"/>
      <c r="E82" s="11"/>
      <c r="F82" s="11"/>
      <c r="G82" s="11"/>
      <c r="H82" s="11"/>
      <c r="I82" s="11"/>
      <c r="J82" s="11"/>
      <c r="K82" s="11"/>
      <c r="L82" s="11"/>
    </row>
    <row r="83" spans="2:12" ht="15.75" customHeight="1">
      <c r="B83" s="11"/>
      <c r="C83" s="11"/>
      <c r="D83" s="11"/>
      <c r="E83" s="11"/>
      <c r="F83" s="11"/>
      <c r="G83" s="11"/>
      <c r="H83" s="11"/>
      <c r="I83" s="11"/>
      <c r="J83" s="11"/>
      <c r="K83" s="11"/>
      <c r="L83" s="11"/>
    </row>
    <row r="84" spans="2:12" ht="15.75" customHeight="1">
      <c r="B84" s="11"/>
      <c r="C84" s="11"/>
      <c r="D84" s="11"/>
      <c r="E84" s="11"/>
      <c r="F84" s="11"/>
      <c r="G84" s="11"/>
      <c r="H84" s="11"/>
      <c r="I84" s="11"/>
      <c r="J84" s="11"/>
      <c r="K84" s="11"/>
      <c r="L84" s="11"/>
    </row>
    <row r="85" spans="2:12" ht="15.75" customHeight="1">
      <c r="B85" s="11"/>
      <c r="C85" s="11"/>
      <c r="D85" s="11"/>
      <c r="E85" s="11"/>
      <c r="F85" s="11"/>
      <c r="G85" s="11"/>
      <c r="H85" s="11"/>
      <c r="I85" s="11"/>
      <c r="J85" s="11"/>
      <c r="K85" s="11"/>
      <c r="L85" s="11"/>
    </row>
    <row r="86" spans="2:12" ht="15.75" customHeight="1">
      <c r="B86" s="11"/>
      <c r="C86" s="11"/>
      <c r="D86" s="11"/>
      <c r="E86" s="11"/>
      <c r="F86" s="11"/>
      <c r="G86" s="11"/>
      <c r="H86" s="11"/>
      <c r="I86" s="11"/>
      <c r="J86" s="11"/>
      <c r="K86" s="11"/>
      <c r="L86" s="11"/>
    </row>
    <row r="87" spans="2:12" ht="15.75" customHeight="1">
      <c r="B87" s="11"/>
      <c r="C87" s="11"/>
      <c r="D87" s="11"/>
      <c r="E87" s="11"/>
      <c r="F87" s="11"/>
      <c r="G87" s="11"/>
      <c r="H87" s="11"/>
      <c r="I87" s="11"/>
      <c r="J87" s="11"/>
      <c r="K87" s="11"/>
      <c r="L87" s="11"/>
    </row>
    <row r="88" spans="2:12" ht="15.75" customHeight="1">
      <c r="B88" s="11"/>
      <c r="C88" s="11"/>
      <c r="D88" s="11"/>
      <c r="E88" s="11"/>
      <c r="F88" s="11"/>
      <c r="G88" s="11"/>
      <c r="H88" s="11"/>
      <c r="I88" s="11"/>
      <c r="J88" s="11"/>
      <c r="K88" s="11"/>
      <c r="L88" s="11"/>
    </row>
    <row r="89" spans="2:12" ht="15.75" customHeight="1">
      <c r="B89" s="11"/>
      <c r="C89" s="11"/>
      <c r="D89" s="11"/>
      <c r="E89" s="11"/>
      <c r="F89" s="11"/>
      <c r="G89" s="11"/>
      <c r="H89" s="11"/>
      <c r="I89" s="11"/>
      <c r="J89" s="11"/>
      <c r="K89" s="11"/>
      <c r="L89" s="11"/>
    </row>
    <row r="90" spans="2:12" ht="15.75" customHeight="1">
      <c r="B90" s="11"/>
      <c r="C90" s="11"/>
      <c r="D90" s="11"/>
      <c r="E90" s="11"/>
      <c r="F90" s="11"/>
      <c r="G90" s="11"/>
      <c r="H90" s="11"/>
      <c r="I90" s="11"/>
      <c r="J90" s="11"/>
      <c r="K90" s="11"/>
      <c r="L90" s="11"/>
    </row>
    <row r="91" spans="2:12" ht="15.75" customHeight="1">
      <c r="B91" s="11"/>
      <c r="C91" s="11"/>
      <c r="D91" s="11"/>
      <c r="E91" s="11"/>
      <c r="F91" s="11"/>
      <c r="G91" s="11"/>
      <c r="H91" s="11"/>
      <c r="I91" s="11"/>
      <c r="J91" s="11"/>
      <c r="K91" s="11"/>
      <c r="L91" s="11"/>
    </row>
    <row r="92" spans="2:12" ht="15.75" customHeight="1">
      <c r="B92" s="11"/>
      <c r="C92" s="11"/>
      <c r="D92" s="11"/>
      <c r="E92" s="11"/>
      <c r="F92" s="11"/>
      <c r="G92" s="11"/>
      <c r="H92" s="11"/>
      <c r="I92" s="11"/>
      <c r="J92" s="11"/>
      <c r="K92" s="11"/>
      <c r="L92" s="11"/>
    </row>
    <row r="93" spans="2:12" ht="15.75" customHeight="1">
      <c r="B93" s="11"/>
      <c r="C93" s="11"/>
      <c r="D93" s="11"/>
      <c r="E93" s="11"/>
      <c r="F93" s="11"/>
      <c r="G93" s="11"/>
      <c r="H93" s="11"/>
      <c r="I93" s="11"/>
      <c r="J93" s="11"/>
      <c r="K93" s="11"/>
      <c r="L93" s="11"/>
    </row>
    <row r="94" spans="2:12" ht="15.75" customHeight="1">
      <c r="B94" s="11"/>
      <c r="C94" s="11"/>
      <c r="D94" s="11"/>
      <c r="E94" s="11"/>
      <c r="F94" s="11"/>
      <c r="G94" s="11"/>
      <c r="H94" s="11"/>
      <c r="I94" s="11"/>
      <c r="J94" s="11"/>
      <c r="K94" s="11"/>
      <c r="L94" s="11"/>
    </row>
    <row r="95" spans="2:12" ht="15.75" customHeight="1">
      <c r="B95" s="11"/>
      <c r="C95" s="11"/>
      <c r="D95" s="11"/>
      <c r="E95" s="11"/>
      <c r="F95" s="11"/>
      <c r="G95" s="11"/>
      <c r="H95" s="11"/>
      <c r="I95" s="11"/>
      <c r="J95" s="11"/>
      <c r="K95" s="11"/>
      <c r="L95" s="11"/>
    </row>
    <row r="96" spans="2:12" ht="15.75" customHeight="1">
      <c r="B96" s="11"/>
      <c r="C96" s="11"/>
      <c r="D96" s="11"/>
      <c r="E96" s="11"/>
      <c r="F96" s="11"/>
      <c r="G96" s="11"/>
      <c r="H96" s="11"/>
      <c r="I96" s="11"/>
      <c r="J96" s="11"/>
      <c r="K96" s="11"/>
      <c r="L96" s="11"/>
    </row>
    <row r="97" spans="2:12" ht="15.75" customHeight="1">
      <c r="B97" s="11"/>
      <c r="C97" s="11"/>
      <c r="D97" s="11"/>
      <c r="E97" s="11"/>
      <c r="F97" s="11"/>
      <c r="G97" s="11"/>
      <c r="H97" s="11"/>
      <c r="I97" s="11"/>
      <c r="J97" s="11"/>
      <c r="K97" s="11"/>
      <c r="L97" s="11"/>
    </row>
    <row r="98" spans="2:12" ht="15.75" customHeight="1">
      <c r="B98" s="11"/>
      <c r="C98" s="11"/>
      <c r="D98" s="11"/>
      <c r="E98" s="11"/>
      <c r="F98" s="11"/>
      <c r="G98" s="11"/>
      <c r="H98" s="11"/>
      <c r="I98" s="11"/>
      <c r="J98" s="11"/>
      <c r="K98" s="11"/>
      <c r="L98" s="11"/>
    </row>
    <row r="99" spans="2:12" ht="15.75" customHeight="1">
      <c r="B99" s="11"/>
      <c r="C99" s="11"/>
      <c r="D99" s="11"/>
      <c r="E99" s="11"/>
      <c r="F99" s="11"/>
      <c r="G99" s="11"/>
      <c r="H99" s="11"/>
      <c r="I99" s="11"/>
      <c r="J99" s="11"/>
      <c r="K99" s="11"/>
      <c r="L99" s="11"/>
    </row>
    <row r="100" spans="2:12" ht="15.75" customHeight="1">
      <c r="B100" s="11"/>
      <c r="C100" s="11"/>
      <c r="D100" s="11"/>
      <c r="E100" s="11"/>
      <c r="F100" s="11"/>
      <c r="G100" s="11"/>
      <c r="H100" s="11"/>
      <c r="I100" s="11"/>
      <c r="J100" s="11"/>
      <c r="K100" s="11"/>
      <c r="L100" s="11"/>
    </row>
    <row r="101" spans="2:12" ht="15.75" customHeight="1">
      <c r="B101" s="11"/>
      <c r="C101" s="11"/>
      <c r="D101" s="11"/>
      <c r="E101" s="11"/>
      <c r="F101" s="11"/>
      <c r="G101" s="11"/>
      <c r="H101" s="11"/>
      <c r="I101" s="11"/>
      <c r="J101" s="11"/>
      <c r="K101" s="11"/>
      <c r="L101" s="11"/>
    </row>
    <row r="102" spans="2:12" ht="15.75" customHeight="1">
      <c r="B102" s="11"/>
      <c r="C102" s="11"/>
      <c r="D102" s="11"/>
      <c r="E102" s="11"/>
      <c r="F102" s="11"/>
      <c r="G102" s="11"/>
      <c r="H102" s="11"/>
      <c r="I102" s="11"/>
      <c r="J102" s="11"/>
      <c r="K102" s="11"/>
      <c r="L102" s="11"/>
    </row>
    <row r="103" spans="2:12" ht="15.75" customHeight="1">
      <c r="B103" s="11"/>
      <c r="C103" s="11"/>
      <c r="D103" s="11"/>
      <c r="E103" s="11"/>
      <c r="F103" s="11"/>
      <c r="G103" s="11"/>
      <c r="H103" s="11"/>
      <c r="I103" s="11"/>
      <c r="J103" s="11"/>
      <c r="K103" s="11"/>
      <c r="L103" s="11"/>
    </row>
    <row r="104" spans="2:12" ht="15.75" customHeight="1">
      <c r="B104" s="11"/>
      <c r="C104" s="11"/>
      <c r="D104" s="11"/>
      <c r="E104" s="11"/>
      <c r="F104" s="11"/>
      <c r="G104" s="11"/>
      <c r="H104" s="11"/>
      <c r="I104" s="11"/>
      <c r="J104" s="11"/>
      <c r="K104" s="11"/>
      <c r="L104" s="11"/>
    </row>
    <row r="105" spans="2:12" ht="15.75" customHeight="1">
      <c r="B105" s="11"/>
      <c r="C105" s="11"/>
      <c r="D105" s="11"/>
      <c r="E105" s="11"/>
      <c r="F105" s="11"/>
      <c r="G105" s="11"/>
      <c r="H105" s="11"/>
      <c r="I105" s="11"/>
      <c r="J105" s="11"/>
      <c r="K105" s="11"/>
      <c r="L105" s="11"/>
    </row>
    <row r="106" spans="2:12" ht="15.75" customHeight="1">
      <c r="B106" s="11"/>
      <c r="C106" s="11"/>
      <c r="D106" s="11"/>
      <c r="E106" s="11"/>
      <c r="F106" s="11"/>
      <c r="G106" s="11"/>
      <c r="H106" s="11"/>
      <c r="I106" s="11"/>
      <c r="J106" s="11"/>
      <c r="K106" s="11"/>
      <c r="L106" s="11"/>
    </row>
    <row r="107" spans="2:12" ht="15.75" customHeight="1">
      <c r="B107" s="11"/>
      <c r="C107" s="11"/>
      <c r="D107" s="11"/>
      <c r="E107" s="11"/>
      <c r="F107" s="11"/>
      <c r="G107" s="11"/>
      <c r="H107" s="11"/>
      <c r="I107" s="11"/>
      <c r="J107" s="11"/>
      <c r="K107" s="11"/>
      <c r="L107" s="11"/>
    </row>
    <row r="108" spans="2:12" ht="15.75" customHeight="1">
      <c r="B108" s="11"/>
      <c r="C108" s="11"/>
      <c r="D108" s="11"/>
      <c r="E108" s="11"/>
      <c r="F108" s="11"/>
      <c r="G108" s="11"/>
      <c r="H108" s="11"/>
      <c r="I108" s="11"/>
      <c r="J108" s="11"/>
      <c r="K108" s="11"/>
      <c r="L108" s="11"/>
    </row>
    <row r="109" spans="2:12" ht="15.75" customHeight="1">
      <c r="B109" s="11"/>
      <c r="C109" s="11"/>
      <c r="D109" s="11"/>
      <c r="E109" s="11"/>
      <c r="F109" s="11"/>
      <c r="G109" s="11"/>
      <c r="H109" s="11"/>
      <c r="I109" s="11"/>
      <c r="J109" s="11"/>
      <c r="K109" s="11"/>
      <c r="L109" s="11"/>
    </row>
    <row r="110" spans="2:12" ht="15.75" customHeight="1">
      <c r="B110" s="11"/>
      <c r="C110" s="11"/>
      <c r="D110" s="11"/>
      <c r="E110" s="11"/>
      <c r="F110" s="11"/>
      <c r="G110" s="11"/>
      <c r="H110" s="11"/>
      <c r="I110" s="11"/>
      <c r="J110" s="11"/>
      <c r="K110" s="11"/>
      <c r="L110" s="11"/>
    </row>
    <row r="111" spans="2:12" ht="15.75" customHeight="1">
      <c r="B111" s="11"/>
      <c r="C111" s="11"/>
      <c r="D111" s="11"/>
      <c r="E111" s="11"/>
      <c r="F111" s="11"/>
      <c r="G111" s="11"/>
      <c r="H111" s="11"/>
      <c r="I111" s="11"/>
      <c r="J111" s="11"/>
      <c r="K111" s="11"/>
      <c r="L111" s="11"/>
    </row>
    <row r="112" spans="2:12" ht="15.75" customHeight="1">
      <c r="B112" s="11"/>
      <c r="C112" s="11"/>
      <c r="D112" s="11"/>
      <c r="E112" s="11"/>
      <c r="F112" s="11"/>
      <c r="G112" s="11"/>
      <c r="H112" s="11"/>
      <c r="I112" s="11"/>
      <c r="J112" s="11"/>
      <c r="K112" s="11"/>
      <c r="L112" s="11"/>
    </row>
    <row r="113" spans="2:12" ht="15.75" customHeight="1">
      <c r="B113" s="11"/>
      <c r="C113" s="11"/>
      <c r="D113" s="11"/>
      <c r="E113" s="11"/>
      <c r="F113" s="11"/>
      <c r="G113" s="11"/>
      <c r="H113" s="11"/>
      <c r="I113" s="11"/>
      <c r="J113" s="11"/>
      <c r="K113" s="11"/>
      <c r="L113" s="11"/>
    </row>
    <row r="114" spans="2:12" ht="15.75" customHeight="1">
      <c r="B114" s="11"/>
      <c r="C114" s="11"/>
      <c r="D114" s="11"/>
      <c r="E114" s="11"/>
      <c r="F114" s="11"/>
      <c r="G114" s="11"/>
      <c r="H114" s="11"/>
      <c r="I114" s="11"/>
      <c r="J114" s="11"/>
      <c r="K114" s="11"/>
      <c r="L114" s="11"/>
    </row>
    <row r="115" spans="2:12" ht="15.75" customHeight="1">
      <c r="B115" s="11"/>
      <c r="C115" s="11"/>
      <c r="D115" s="11"/>
      <c r="E115" s="11"/>
      <c r="F115" s="11"/>
      <c r="G115" s="11"/>
      <c r="H115" s="11"/>
      <c r="I115" s="11"/>
      <c r="J115" s="11"/>
      <c r="K115" s="11"/>
      <c r="L115" s="11"/>
    </row>
    <row r="116" spans="2:12" ht="15.75" customHeight="1">
      <c r="B116" s="11"/>
      <c r="C116" s="11"/>
      <c r="D116" s="11"/>
      <c r="E116" s="11"/>
      <c r="F116" s="11"/>
      <c r="G116" s="11"/>
      <c r="H116" s="11"/>
      <c r="I116" s="11"/>
      <c r="J116" s="11"/>
      <c r="K116" s="11"/>
      <c r="L116" s="11"/>
    </row>
    <row r="117" spans="2:12" ht="15.75" customHeight="1">
      <c r="B117" s="11"/>
      <c r="C117" s="11"/>
      <c r="D117" s="11"/>
      <c r="E117" s="11"/>
      <c r="F117" s="11"/>
      <c r="G117" s="11"/>
      <c r="H117" s="11"/>
      <c r="I117" s="11"/>
      <c r="J117" s="11"/>
      <c r="K117" s="11"/>
      <c r="L117" s="11"/>
    </row>
    <row r="118" spans="2:12" ht="15.75" customHeight="1">
      <c r="B118" s="11"/>
      <c r="C118" s="11"/>
      <c r="D118" s="11"/>
      <c r="E118" s="11"/>
      <c r="F118" s="11"/>
      <c r="G118" s="11"/>
      <c r="H118" s="11"/>
      <c r="I118" s="11"/>
      <c r="J118" s="11"/>
      <c r="K118" s="11"/>
      <c r="L118" s="11"/>
    </row>
    <row r="119" spans="2:12" ht="15.75" customHeight="1">
      <c r="B119" s="11"/>
      <c r="C119" s="11"/>
      <c r="D119" s="11"/>
      <c r="E119" s="11"/>
      <c r="F119" s="11"/>
      <c r="G119" s="11"/>
      <c r="H119" s="11"/>
      <c r="I119" s="11"/>
      <c r="J119" s="11"/>
      <c r="K119" s="11"/>
      <c r="L119" s="11"/>
    </row>
    <row r="120" spans="2:12" ht="15.75" customHeight="1">
      <c r="B120" s="11"/>
      <c r="C120" s="11"/>
      <c r="D120" s="11"/>
      <c r="E120" s="11"/>
      <c r="F120" s="11"/>
      <c r="G120" s="11"/>
      <c r="H120" s="11"/>
      <c r="I120" s="11"/>
      <c r="J120" s="11"/>
      <c r="K120" s="11"/>
      <c r="L120" s="11"/>
    </row>
    <row r="121" spans="2:12" ht="15.75" customHeight="1">
      <c r="B121" s="11"/>
      <c r="C121" s="11"/>
      <c r="D121" s="11"/>
      <c r="E121" s="11"/>
      <c r="F121" s="11"/>
      <c r="G121" s="11"/>
      <c r="H121" s="11"/>
      <c r="I121" s="11"/>
      <c r="J121" s="11"/>
      <c r="K121" s="11"/>
      <c r="L121" s="11"/>
    </row>
    <row r="122" spans="2:12" ht="15.75" customHeight="1">
      <c r="B122" s="11"/>
      <c r="C122" s="11"/>
      <c r="D122" s="11"/>
      <c r="E122" s="11"/>
      <c r="F122" s="11"/>
      <c r="G122" s="11"/>
      <c r="H122" s="11"/>
      <c r="I122" s="11"/>
      <c r="J122" s="11"/>
      <c r="K122" s="11"/>
      <c r="L122" s="11"/>
    </row>
    <row r="123" spans="2:12" ht="15.75" customHeight="1">
      <c r="B123" s="11"/>
      <c r="C123" s="11"/>
      <c r="D123" s="11"/>
      <c r="E123" s="11"/>
      <c r="F123" s="11"/>
      <c r="G123" s="11"/>
      <c r="H123" s="11"/>
      <c r="I123" s="11"/>
      <c r="J123" s="11"/>
      <c r="K123" s="11"/>
      <c r="L123" s="11"/>
    </row>
    <row r="124" spans="2:12" ht="15.75" customHeight="1">
      <c r="B124" s="11"/>
      <c r="C124" s="11"/>
      <c r="D124" s="11"/>
      <c r="E124" s="11"/>
      <c r="F124" s="11"/>
      <c r="G124" s="11"/>
      <c r="H124" s="11"/>
      <c r="I124" s="11"/>
      <c r="J124" s="11"/>
      <c r="K124" s="11"/>
      <c r="L124" s="11"/>
    </row>
    <row r="125" spans="2:12" ht="15.75" customHeight="1">
      <c r="B125" s="11"/>
      <c r="C125" s="11"/>
      <c r="D125" s="11"/>
      <c r="E125" s="11"/>
      <c r="F125" s="11"/>
      <c r="G125" s="11"/>
      <c r="H125" s="11"/>
      <c r="I125" s="11"/>
      <c r="J125" s="11"/>
      <c r="K125" s="11"/>
      <c r="L125" s="11"/>
    </row>
    <row r="126" spans="2:12" ht="15.75" customHeight="1">
      <c r="B126" s="11"/>
      <c r="C126" s="11"/>
      <c r="D126" s="11"/>
      <c r="E126" s="11"/>
      <c r="F126" s="11"/>
      <c r="G126" s="11"/>
      <c r="H126" s="11"/>
      <c r="I126" s="11"/>
      <c r="J126" s="11"/>
      <c r="K126" s="11"/>
      <c r="L126" s="11"/>
    </row>
    <row r="127" spans="2:12" ht="15.75" customHeight="1">
      <c r="B127" s="11"/>
      <c r="C127" s="11"/>
      <c r="D127" s="11"/>
      <c r="E127" s="11"/>
      <c r="F127" s="11"/>
      <c r="G127" s="11"/>
      <c r="H127" s="11"/>
      <c r="I127" s="11"/>
      <c r="J127" s="11"/>
      <c r="K127" s="11"/>
      <c r="L127" s="11"/>
    </row>
    <row r="128" spans="2:12" ht="15.75" customHeight="1">
      <c r="B128" s="11"/>
      <c r="C128" s="11"/>
      <c r="D128" s="11"/>
      <c r="E128" s="11"/>
      <c r="F128" s="11"/>
      <c r="G128" s="11"/>
      <c r="H128" s="11"/>
      <c r="I128" s="11"/>
      <c r="J128" s="11"/>
      <c r="K128" s="11"/>
      <c r="L128" s="11"/>
    </row>
    <row r="129" spans="2:12" ht="15.75" customHeight="1">
      <c r="B129" s="11"/>
      <c r="C129" s="11"/>
      <c r="D129" s="11"/>
      <c r="E129" s="11"/>
      <c r="F129" s="11"/>
      <c r="G129" s="11"/>
      <c r="H129" s="11"/>
      <c r="I129" s="11"/>
      <c r="J129" s="11"/>
      <c r="K129" s="11"/>
      <c r="L129" s="11"/>
    </row>
    <row r="130" spans="2:12" ht="15.75" customHeight="1">
      <c r="B130" s="11"/>
      <c r="C130" s="11"/>
      <c r="D130" s="11"/>
      <c r="E130" s="11"/>
      <c r="F130" s="11"/>
      <c r="G130" s="11"/>
      <c r="H130" s="11"/>
      <c r="I130" s="11"/>
      <c r="J130" s="11"/>
      <c r="K130" s="11"/>
      <c r="L130" s="11"/>
    </row>
    <row r="131" spans="2:12" ht="15.75" customHeight="1">
      <c r="B131" s="11"/>
      <c r="C131" s="11"/>
      <c r="D131" s="11"/>
      <c r="E131" s="11"/>
      <c r="F131" s="11"/>
      <c r="G131" s="11"/>
      <c r="H131" s="11"/>
      <c r="I131" s="11"/>
      <c r="J131" s="11"/>
      <c r="K131" s="11"/>
      <c r="L131" s="11"/>
    </row>
    <row r="132" spans="2:12" ht="15.75" customHeight="1">
      <c r="B132" s="11"/>
      <c r="C132" s="11"/>
      <c r="D132" s="11"/>
      <c r="E132" s="11"/>
      <c r="F132" s="11"/>
      <c r="G132" s="11"/>
      <c r="H132" s="11"/>
      <c r="I132" s="11"/>
      <c r="J132" s="11"/>
      <c r="K132" s="11"/>
      <c r="L132" s="11"/>
    </row>
    <row r="133" spans="2:12" ht="15.75" customHeight="1">
      <c r="B133" s="11"/>
      <c r="C133" s="11"/>
      <c r="D133" s="11"/>
      <c r="E133" s="11"/>
      <c r="F133" s="11"/>
      <c r="G133" s="11"/>
      <c r="H133" s="11"/>
      <c r="I133" s="11"/>
      <c r="J133" s="11"/>
      <c r="K133" s="11"/>
      <c r="L133" s="11"/>
    </row>
    <row r="134" spans="2:12" ht="15.75" customHeight="1">
      <c r="B134" s="11"/>
      <c r="C134" s="11"/>
      <c r="D134" s="11"/>
      <c r="E134" s="11"/>
      <c r="F134" s="11"/>
      <c r="G134" s="11"/>
      <c r="H134" s="11"/>
      <c r="I134" s="11"/>
      <c r="J134" s="11"/>
      <c r="K134" s="11"/>
      <c r="L134" s="11"/>
    </row>
    <row r="135" spans="2:12" ht="15.75" customHeight="1">
      <c r="B135" s="11"/>
      <c r="C135" s="11"/>
      <c r="D135" s="11"/>
      <c r="E135" s="11"/>
      <c r="F135" s="11"/>
      <c r="G135" s="11"/>
      <c r="H135" s="11"/>
      <c r="I135" s="11"/>
      <c r="J135" s="11"/>
      <c r="K135" s="11"/>
      <c r="L135" s="11"/>
    </row>
    <row r="136" spans="2:12" ht="15.75" customHeight="1">
      <c r="B136" s="11"/>
      <c r="C136" s="11"/>
      <c r="D136" s="11"/>
      <c r="E136" s="11"/>
      <c r="F136" s="11"/>
      <c r="G136" s="11"/>
      <c r="H136" s="11"/>
      <c r="I136" s="11"/>
      <c r="J136" s="11"/>
      <c r="K136" s="11"/>
      <c r="L136" s="11"/>
    </row>
    <row r="137" spans="2:12" ht="15.75" customHeight="1">
      <c r="B137" s="11"/>
      <c r="C137" s="11"/>
      <c r="D137" s="11"/>
      <c r="E137" s="11"/>
      <c r="F137" s="11"/>
      <c r="G137" s="11"/>
      <c r="H137" s="11"/>
      <c r="I137" s="11"/>
      <c r="J137" s="11"/>
      <c r="K137" s="11"/>
      <c r="L137" s="11"/>
    </row>
    <row r="138" spans="2:12" ht="15.75" customHeight="1">
      <c r="B138" s="11"/>
      <c r="C138" s="11"/>
      <c r="D138" s="11"/>
      <c r="E138" s="11"/>
      <c r="F138" s="11"/>
      <c r="G138" s="11"/>
      <c r="H138" s="11"/>
      <c r="I138" s="11"/>
      <c r="J138" s="11"/>
      <c r="K138" s="11"/>
      <c r="L138" s="11"/>
    </row>
    <row r="139" spans="2:12" ht="15.75" customHeight="1">
      <c r="B139" s="11"/>
      <c r="C139" s="11"/>
      <c r="D139" s="11"/>
      <c r="E139" s="11"/>
      <c r="F139" s="11"/>
      <c r="G139" s="11"/>
      <c r="H139" s="11"/>
      <c r="I139" s="11"/>
      <c r="J139" s="11"/>
      <c r="K139" s="11"/>
      <c r="L139" s="11"/>
    </row>
    <row r="140" spans="2:12" ht="15.75" customHeight="1">
      <c r="B140" s="11"/>
      <c r="C140" s="11"/>
      <c r="D140" s="11"/>
      <c r="E140" s="11"/>
      <c r="F140" s="11"/>
      <c r="G140" s="11"/>
      <c r="H140" s="11"/>
      <c r="I140" s="11"/>
      <c r="J140" s="11"/>
      <c r="K140" s="11"/>
      <c r="L140" s="11"/>
    </row>
    <row r="141" spans="2:12" ht="15.75" customHeight="1">
      <c r="B141" s="11"/>
      <c r="C141" s="11"/>
      <c r="D141" s="11"/>
      <c r="E141" s="11"/>
      <c r="F141" s="11"/>
      <c r="G141" s="11"/>
      <c r="H141" s="11"/>
      <c r="I141" s="11"/>
      <c r="J141" s="11"/>
      <c r="K141" s="11"/>
      <c r="L141" s="11"/>
    </row>
    <row r="142" spans="2:12" ht="15.75" customHeight="1">
      <c r="B142" s="11"/>
      <c r="C142" s="11"/>
      <c r="D142" s="11"/>
      <c r="E142" s="11"/>
      <c r="F142" s="11"/>
      <c r="G142" s="11"/>
      <c r="H142" s="11"/>
      <c r="I142" s="11"/>
      <c r="J142" s="11"/>
      <c r="K142" s="11"/>
      <c r="L142" s="11"/>
    </row>
    <row r="143" spans="2:12" ht="15.75" customHeight="1">
      <c r="B143" s="11"/>
      <c r="C143" s="11"/>
      <c r="D143" s="11"/>
      <c r="E143" s="11"/>
      <c r="F143" s="11"/>
      <c r="G143" s="11"/>
      <c r="H143" s="11"/>
      <c r="I143" s="11"/>
      <c r="J143" s="11"/>
      <c r="K143" s="11"/>
      <c r="L143" s="11"/>
    </row>
    <row r="144" spans="2:12" ht="15.75" customHeight="1">
      <c r="B144" s="11"/>
      <c r="C144" s="11"/>
      <c r="D144" s="11"/>
      <c r="E144" s="11"/>
      <c r="F144" s="11"/>
      <c r="G144" s="11"/>
      <c r="H144" s="11"/>
      <c r="I144" s="11"/>
      <c r="J144" s="11"/>
      <c r="K144" s="11"/>
      <c r="L144" s="11"/>
    </row>
    <row r="145" spans="2:12" ht="15.75" customHeight="1">
      <c r="B145" s="11"/>
      <c r="C145" s="11"/>
      <c r="D145" s="11"/>
      <c r="E145" s="11"/>
      <c r="F145" s="11"/>
      <c r="G145" s="11"/>
      <c r="H145" s="11"/>
      <c r="I145" s="11"/>
      <c r="J145" s="11"/>
      <c r="K145" s="11"/>
      <c r="L145" s="11"/>
    </row>
    <row r="146" spans="2:12" ht="15.75" customHeight="1">
      <c r="B146" s="11"/>
      <c r="C146" s="11"/>
      <c r="D146" s="11"/>
      <c r="E146" s="11"/>
      <c r="F146" s="11"/>
      <c r="G146" s="11"/>
      <c r="H146" s="11"/>
      <c r="I146" s="11"/>
      <c r="J146" s="11"/>
      <c r="K146" s="11"/>
      <c r="L146" s="11"/>
    </row>
    <row r="147" spans="2:12" ht="15.75" customHeight="1">
      <c r="B147" s="11"/>
      <c r="C147" s="11"/>
      <c r="D147" s="11"/>
      <c r="E147" s="11"/>
      <c r="F147" s="11"/>
      <c r="G147" s="11"/>
      <c r="H147" s="11"/>
      <c r="I147" s="11"/>
      <c r="J147" s="11"/>
      <c r="K147" s="11"/>
      <c r="L147" s="11"/>
    </row>
    <row r="148" spans="2:12" ht="15.75" customHeight="1">
      <c r="B148" s="11"/>
      <c r="C148" s="11"/>
      <c r="D148" s="11"/>
      <c r="E148" s="11"/>
      <c r="F148" s="11"/>
      <c r="G148" s="11"/>
      <c r="H148" s="11"/>
      <c r="I148" s="11"/>
      <c r="J148" s="11"/>
      <c r="K148" s="11"/>
      <c r="L148" s="11"/>
    </row>
    <row r="149" spans="2:12" ht="15.75" customHeight="1">
      <c r="B149" s="11"/>
      <c r="C149" s="11"/>
      <c r="D149" s="11"/>
      <c r="E149" s="11"/>
      <c r="F149" s="11"/>
      <c r="G149" s="11"/>
      <c r="H149" s="11"/>
      <c r="I149" s="11"/>
      <c r="J149" s="11"/>
      <c r="K149" s="11"/>
      <c r="L149" s="11"/>
    </row>
    <row r="150" spans="2:12" ht="15.75" customHeight="1">
      <c r="B150" s="11"/>
      <c r="C150" s="11"/>
      <c r="D150" s="11"/>
      <c r="E150" s="11"/>
      <c r="F150" s="11"/>
      <c r="G150" s="11"/>
      <c r="H150" s="11"/>
      <c r="I150" s="11"/>
      <c r="J150" s="11"/>
      <c r="K150" s="11"/>
      <c r="L150" s="11"/>
    </row>
    <row r="151" spans="2:12" ht="15.75" customHeight="1">
      <c r="B151" s="11"/>
      <c r="C151" s="11"/>
      <c r="D151" s="11"/>
      <c r="E151" s="11"/>
      <c r="F151" s="11"/>
      <c r="G151" s="11"/>
      <c r="H151" s="11"/>
      <c r="I151" s="11"/>
      <c r="J151" s="11"/>
      <c r="K151" s="11"/>
      <c r="L151" s="11"/>
    </row>
    <row r="152" spans="2:12" ht="15.75" customHeight="1">
      <c r="B152" s="11"/>
      <c r="C152" s="11"/>
      <c r="D152" s="11"/>
      <c r="E152" s="11"/>
      <c r="F152" s="11"/>
      <c r="G152" s="11"/>
      <c r="H152" s="11"/>
      <c r="I152" s="11"/>
      <c r="J152" s="11"/>
      <c r="K152" s="11"/>
      <c r="L152" s="11"/>
    </row>
    <row r="153" spans="2:12" ht="15.75" customHeight="1">
      <c r="B153" s="11"/>
      <c r="C153" s="11"/>
      <c r="D153" s="11"/>
      <c r="E153" s="11"/>
      <c r="F153" s="11"/>
      <c r="G153" s="11"/>
      <c r="H153" s="11"/>
      <c r="I153" s="11"/>
      <c r="J153" s="11"/>
      <c r="K153" s="11"/>
      <c r="L153" s="11"/>
    </row>
    <row r="154" spans="2:12" ht="15.75" customHeight="1">
      <c r="B154" s="11"/>
      <c r="C154" s="11"/>
      <c r="D154" s="11"/>
      <c r="E154" s="11"/>
      <c r="F154" s="11"/>
      <c r="G154" s="11"/>
      <c r="H154" s="11"/>
      <c r="I154" s="11"/>
      <c r="J154" s="11"/>
      <c r="K154" s="11"/>
      <c r="L154" s="11"/>
    </row>
    <row r="155" spans="2:12" ht="15.75" customHeight="1">
      <c r="B155" s="11"/>
      <c r="C155" s="11"/>
      <c r="D155" s="11"/>
      <c r="E155" s="11"/>
      <c r="F155" s="11"/>
      <c r="G155" s="11"/>
      <c r="H155" s="11"/>
      <c r="I155" s="11"/>
      <c r="J155" s="11"/>
      <c r="K155" s="11"/>
      <c r="L155" s="11"/>
    </row>
    <row r="156" spans="2:12" ht="15.75" customHeight="1">
      <c r="B156" s="11"/>
      <c r="C156" s="11"/>
      <c r="D156" s="11"/>
      <c r="E156" s="11"/>
      <c r="F156" s="11"/>
      <c r="G156" s="11"/>
      <c r="H156" s="11"/>
      <c r="I156" s="11"/>
      <c r="J156" s="11"/>
      <c r="K156" s="11"/>
      <c r="L156" s="11"/>
    </row>
    <row r="157" spans="2:12" ht="15.75" customHeight="1">
      <c r="B157" s="11"/>
      <c r="C157" s="11"/>
      <c r="D157" s="11"/>
      <c r="E157" s="11"/>
      <c r="F157" s="11"/>
      <c r="G157" s="11"/>
      <c r="H157" s="11"/>
      <c r="I157" s="11"/>
      <c r="J157" s="11"/>
      <c r="K157" s="11"/>
      <c r="L157" s="11"/>
    </row>
    <row r="158" spans="2:12" ht="15.75" customHeight="1">
      <c r="B158" s="11"/>
      <c r="C158" s="11"/>
      <c r="D158" s="11"/>
      <c r="E158" s="11"/>
      <c r="F158" s="11"/>
      <c r="G158" s="11"/>
      <c r="H158" s="11"/>
      <c r="I158" s="11"/>
      <c r="J158" s="11"/>
      <c r="K158" s="11"/>
      <c r="L158" s="11"/>
    </row>
    <row r="159" spans="2:12" ht="15.75" customHeight="1">
      <c r="B159" s="11"/>
      <c r="C159" s="11"/>
      <c r="D159" s="11"/>
      <c r="E159" s="11"/>
      <c r="F159" s="11"/>
      <c r="G159" s="11"/>
      <c r="H159" s="11"/>
      <c r="I159" s="11"/>
      <c r="J159" s="11"/>
      <c r="K159" s="11"/>
      <c r="L159" s="11"/>
    </row>
    <row r="160" spans="2:12" ht="15.75" customHeight="1">
      <c r="B160" s="11"/>
      <c r="C160" s="11"/>
      <c r="D160" s="11"/>
      <c r="E160" s="11"/>
      <c r="F160" s="11"/>
      <c r="G160" s="11"/>
      <c r="H160" s="11"/>
      <c r="I160" s="11"/>
      <c r="J160" s="11"/>
      <c r="K160" s="11"/>
      <c r="L160" s="11"/>
    </row>
    <row r="161" spans="2:12" ht="15.75" customHeight="1">
      <c r="B161" s="11"/>
      <c r="C161" s="11"/>
      <c r="D161" s="11"/>
      <c r="E161" s="11"/>
      <c r="F161" s="11"/>
      <c r="G161" s="11"/>
      <c r="H161" s="11"/>
      <c r="I161" s="11"/>
      <c r="J161" s="11"/>
      <c r="K161" s="11"/>
      <c r="L161" s="11"/>
    </row>
    <row r="162" spans="2:12" ht="15.75" customHeight="1">
      <c r="B162" s="11"/>
      <c r="C162" s="11"/>
      <c r="D162" s="11"/>
      <c r="E162" s="11"/>
      <c r="F162" s="11"/>
      <c r="G162" s="11"/>
      <c r="H162" s="11"/>
      <c r="I162" s="11"/>
      <c r="J162" s="11"/>
      <c r="K162" s="11"/>
      <c r="L162" s="11"/>
    </row>
    <row r="163" spans="2:12" ht="15.75" customHeight="1">
      <c r="B163" s="11"/>
      <c r="C163" s="11"/>
      <c r="D163" s="11"/>
      <c r="E163" s="11"/>
      <c r="F163" s="11"/>
      <c r="G163" s="11"/>
      <c r="H163" s="11"/>
      <c r="I163" s="11"/>
      <c r="J163" s="11"/>
      <c r="K163" s="11"/>
      <c r="L163" s="11"/>
    </row>
    <row r="164" spans="2:12" ht="15.75" customHeight="1">
      <c r="B164" s="11"/>
      <c r="C164" s="11"/>
      <c r="D164" s="11"/>
      <c r="E164" s="11"/>
      <c r="F164" s="11"/>
      <c r="G164" s="11"/>
      <c r="H164" s="11"/>
      <c r="I164" s="11"/>
      <c r="J164" s="11"/>
      <c r="K164" s="11"/>
      <c r="L164" s="11"/>
    </row>
    <row r="165" spans="2:12" ht="15.75" customHeight="1">
      <c r="B165" s="11"/>
      <c r="C165" s="11"/>
      <c r="D165" s="11"/>
      <c r="E165" s="11"/>
      <c r="F165" s="11"/>
      <c r="G165" s="11"/>
      <c r="H165" s="11"/>
      <c r="I165" s="11"/>
      <c r="J165" s="11"/>
      <c r="K165" s="11"/>
      <c r="L165" s="11"/>
    </row>
    <row r="166" spans="2:12" ht="15.75" customHeight="1">
      <c r="B166" s="11"/>
      <c r="C166" s="11"/>
      <c r="D166" s="11"/>
      <c r="E166" s="11"/>
      <c r="F166" s="11"/>
      <c r="G166" s="11"/>
      <c r="H166" s="11"/>
      <c r="I166" s="11"/>
      <c r="J166" s="11"/>
      <c r="K166" s="11"/>
      <c r="L166" s="11"/>
    </row>
    <row r="167" spans="2:12" ht="15.75" customHeight="1">
      <c r="B167" s="11"/>
      <c r="C167" s="11"/>
      <c r="D167" s="11"/>
      <c r="E167" s="11"/>
      <c r="F167" s="11"/>
      <c r="G167" s="11"/>
      <c r="H167" s="11"/>
      <c r="I167" s="11"/>
      <c r="J167" s="11"/>
      <c r="K167" s="11"/>
      <c r="L167" s="11"/>
    </row>
    <row r="168" spans="2:12" ht="15.75" customHeight="1">
      <c r="B168" s="11"/>
      <c r="C168" s="11"/>
      <c r="D168" s="11"/>
      <c r="E168" s="11"/>
      <c r="F168" s="11"/>
      <c r="G168" s="11"/>
      <c r="H168" s="11"/>
      <c r="I168" s="11"/>
      <c r="J168" s="11"/>
      <c r="K168" s="11"/>
      <c r="L168" s="11"/>
    </row>
    <row r="169" spans="2:12" ht="15.75" customHeight="1">
      <c r="B169" s="11"/>
      <c r="C169" s="11"/>
      <c r="D169" s="11"/>
      <c r="E169" s="11"/>
      <c r="F169" s="11"/>
      <c r="G169" s="11"/>
      <c r="H169" s="11"/>
      <c r="I169" s="11"/>
      <c r="J169" s="11"/>
      <c r="K169" s="11"/>
      <c r="L169" s="11"/>
    </row>
    <row r="170" spans="2:12" ht="15.75" customHeight="1">
      <c r="B170" s="11"/>
      <c r="C170" s="11"/>
      <c r="D170" s="11"/>
      <c r="E170" s="11"/>
      <c r="F170" s="11"/>
      <c r="G170" s="11"/>
      <c r="H170" s="11"/>
      <c r="I170" s="11"/>
      <c r="J170" s="11"/>
      <c r="K170" s="11"/>
      <c r="L170" s="11"/>
    </row>
    <row r="171" spans="2:12" ht="15.75" customHeight="1">
      <c r="B171" s="11"/>
      <c r="C171" s="11"/>
      <c r="D171" s="11"/>
      <c r="E171" s="11"/>
      <c r="F171" s="11"/>
      <c r="G171" s="11"/>
      <c r="H171" s="11"/>
      <c r="I171" s="11"/>
      <c r="J171" s="11"/>
      <c r="K171" s="11"/>
      <c r="L171" s="11"/>
    </row>
    <row r="172" spans="2:12" ht="15.75" customHeight="1">
      <c r="B172" s="11"/>
      <c r="C172" s="11"/>
      <c r="D172" s="11"/>
      <c r="E172" s="11"/>
      <c r="F172" s="11"/>
      <c r="G172" s="11"/>
      <c r="H172" s="11"/>
      <c r="I172" s="11"/>
      <c r="J172" s="11"/>
      <c r="K172" s="11"/>
      <c r="L172" s="11"/>
    </row>
    <row r="173" spans="2:12" ht="15.75" customHeight="1">
      <c r="B173" s="11"/>
      <c r="C173" s="11"/>
      <c r="D173" s="11"/>
      <c r="E173" s="11"/>
      <c r="F173" s="11"/>
      <c r="G173" s="11"/>
      <c r="H173" s="11"/>
      <c r="I173" s="11"/>
      <c r="J173" s="11"/>
      <c r="K173" s="11"/>
      <c r="L173" s="11"/>
    </row>
    <row r="174" spans="2:12" ht="15.75" customHeight="1">
      <c r="B174" s="11"/>
      <c r="C174" s="11"/>
      <c r="D174" s="11"/>
      <c r="E174" s="11"/>
      <c r="F174" s="11"/>
      <c r="G174" s="11"/>
      <c r="H174" s="11"/>
      <c r="I174" s="11"/>
      <c r="J174" s="11"/>
      <c r="K174" s="11"/>
      <c r="L174" s="11"/>
    </row>
    <row r="175" spans="2:12" ht="15.75" customHeight="1">
      <c r="B175" s="11"/>
      <c r="C175" s="11"/>
      <c r="D175" s="11"/>
      <c r="E175" s="11"/>
      <c r="F175" s="11"/>
      <c r="G175" s="11"/>
      <c r="H175" s="11"/>
      <c r="I175" s="11"/>
      <c r="J175" s="11"/>
      <c r="K175" s="11"/>
      <c r="L175" s="11"/>
    </row>
    <row r="176" spans="2:12" ht="15.75" customHeight="1">
      <c r="B176" s="11"/>
      <c r="C176" s="11"/>
      <c r="D176" s="11"/>
      <c r="E176" s="11"/>
      <c r="F176" s="11"/>
      <c r="G176" s="11"/>
      <c r="H176" s="11"/>
      <c r="I176" s="11"/>
      <c r="J176" s="11"/>
      <c r="K176" s="11"/>
      <c r="L176" s="11"/>
    </row>
    <row r="177" spans="2:12" ht="15.75" customHeight="1">
      <c r="B177" s="11"/>
      <c r="C177" s="11"/>
      <c r="D177" s="11"/>
      <c r="E177" s="11"/>
      <c r="F177" s="11"/>
      <c r="G177" s="11"/>
      <c r="H177" s="11"/>
      <c r="I177" s="11"/>
      <c r="J177" s="11"/>
      <c r="K177" s="11"/>
      <c r="L177" s="11"/>
    </row>
    <row r="178" spans="2:12" ht="15.75" customHeight="1">
      <c r="B178" s="11"/>
      <c r="C178" s="11"/>
      <c r="D178" s="11"/>
      <c r="E178" s="11"/>
      <c r="F178" s="11"/>
      <c r="G178" s="11"/>
      <c r="H178" s="11"/>
      <c r="I178" s="11"/>
      <c r="J178" s="11"/>
      <c r="K178" s="11"/>
      <c r="L178" s="11"/>
    </row>
    <row r="179" spans="2:12" ht="15.75" customHeight="1">
      <c r="B179" s="11"/>
      <c r="C179" s="11"/>
      <c r="D179" s="11"/>
      <c r="E179" s="11"/>
      <c r="F179" s="11"/>
      <c r="G179" s="11"/>
      <c r="H179" s="11"/>
      <c r="I179" s="11"/>
      <c r="J179" s="11"/>
      <c r="K179" s="11"/>
      <c r="L179" s="11"/>
    </row>
    <row r="180" spans="2:12" ht="15.75" customHeight="1">
      <c r="B180" s="11"/>
      <c r="C180" s="11"/>
      <c r="D180" s="11"/>
      <c r="E180" s="11"/>
      <c r="F180" s="11"/>
      <c r="G180" s="11"/>
      <c r="H180" s="11"/>
      <c r="I180" s="11"/>
      <c r="J180" s="11"/>
      <c r="K180" s="11"/>
      <c r="L180" s="11"/>
    </row>
    <row r="181" spans="2:12" ht="15.75" customHeight="1">
      <c r="B181" s="11"/>
      <c r="C181" s="11"/>
      <c r="D181" s="11"/>
      <c r="E181" s="11"/>
      <c r="F181" s="11"/>
      <c r="G181" s="11"/>
      <c r="H181" s="11"/>
      <c r="I181" s="11"/>
      <c r="J181" s="11"/>
      <c r="K181" s="11"/>
      <c r="L181" s="11"/>
    </row>
    <row r="182" spans="2:12" ht="15.75" customHeight="1">
      <c r="B182" s="11"/>
      <c r="C182" s="11"/>
      <c r="D182" s="11"/>
      <c r="E182" s="11"/>
      <c r="F182" s="11"/>
      <c r="G182" s="11"/>
      <c r="H182" s="11"/>
      <c r="I182" s="11"/>
      <c r="J182" s="11"/>
      <c r="K182" s="11"/>
      <c r="L182" s="11"/>
    </row>
    <row r="183" spans="2:12" ht="15.75" customHeight="1">
      <c r="B183" s="11"/>
      <c r="C183" s="11"/>
      <c r="D183" s="11"/>
      <c r="E183" s="11"/>
      <c r="F183" s="11"/>
      <c r="G183" s="11"/>
      <c r="H183" s="11"/>
      <c r="I183" s="11"/>
      <c r="J183" s="11"/>
      <c r="K183" s="11"/>
      <c r="L183" s="11"/>
    </row>
    <row r="184" spans="2:12" ht="15.75" customHeight="1">
      <c r="B184" s="11"/>
      <c r="C184" s="11"/>
      <c r="D184" s="11"/>
      <c r="E184" s="11"/>
      <c r="F184" s="11"/>
      <c r="G184" s="11"/>
      <c r="H184" s="11"/>
      <c r="I184" s="11"/>
      <c r="J184" s="11"/>
      <c r="K184" s="11"/>
      <c r="L184" s="11"/>
    </row>
    <row r="185" spans="2:12" ht="15.75" customHeight="1">
      <c r="B185" s="11"/>
      <c r="C185" s="11"/>
      <c r="D185" s="11"/>
      <c r="E185" s="11"/>
      <c r="F185" s="11"/>
      <c r="G185" s="11"/>
      <c r="H185" s="11"/>
      <c r="I185" s="11"/>
      <c r="J185" s="11"/>
      <c r="K185" s="11"/>
      <c r="L185" s="11"/>
    </row>
    <row r="186" spans="2:12" ht="15.75" customHeight="1">
      <c r="B186" s="11"/>
      <c r="C186" s="11"/>
      <c r="D186" s="11"/>
      <c r="E186" s="11"/>
      <c r="F186" s="11"/>
      <c r="G186" s="11"/>
      <c r="H186" s="11"/>
      <c r="I186" s="11"/>
      <c r="J186" s="11"/>
      <c r="K186" s="11"/>
      <c r="L186" s="11"/>
    </row>
    <row r="187" spans="2:12" ht="15.75" customHeight="1">
      <c r="B187" s="11"/>
      <c r="C187" s="11"/>
      <c r="D187" s="11"/>
      <c r="E187" s="11"/>
      <c r="F187" s="11"/>
      <c r="G187" s="11"/>
      <c r="H187" s="11"/>
      <c r="I187" s="11"/>
      <c r="J187" s="11"/>
      <c r="K187" s="11"/>
      <c r="L187" s="11"/>
    </row>
    <row r="188" spans="2:12" ht="15.75" customHeight="1">
      <c r="B188" s="11"/>
      <c r="C188" s="11"/>
      <c r="D188" s="11"/>
      <c r="E188" s="11"/>
      <c r="F188" s="11"/>
      <c r="G188" s="11"/>
      <c r="H188" s="11"/>
      <c r="I188" s="11"/>
      <c r="J188" s="11"/>
      <c r="K188" s="11"/>
      <c r="L188" s="11"/>
    </row>
    <row r="189" spans="2:12" ht="15.75" customHeight="1">
      <c r="B189" s="11"/>
      <c r="C189" s="11"/>
      <c r="D189" s="11"/>
      <c r="E189" s="11"/>
      <c r="F189" s="11"/>
      <c r="G189" s="11"/>
      <c r="H189" s="11"/>
      <c r="I189" s="11"/>
      <c r="J189" s="11"/>
      <c r="K189" s="11"/>
      <c r="L189" s="11"/>
    </row>
    <row r="190" spans="2:12" ht="15.75" customHeight="1">
      <c r="B190" s="11"/>
      <c r="C190" s="11"/>
      <c r="D190" s="11"/>
      <c r="E190" s="11"/>
      <c r="F190" s="11"/>
      <c r="G190" s="11"/>
      <c r="H190" s="11"/>
      <c r="I190" s="11"/>
      <c r="J190" s="11"/>
      <c r="K190" s="11"/>
      <c r="L190" s="11"/>
    </row>
    <row r="191" spans="2:12" ht="15.75" customHeight="1">
      <c r="B191" s="11"/>
      <c r="C191" s="11"/>
      <c r="D191" s="11"/>
      <c r="E191" s="11"/>
      <c r="F191" s="11"/>
      <c r="G191" s="11"/>
      <c r="H191" s="11"/>
      <c r="I191" s="11"/>
      <c r="J191" s="11"/>
      <c r="K191" s="11"/>
      <c r="L191" s="11"/>
    </row>
    <row r="192" spans="2:12" ht="15.75" customHeight="1">
      <c r="B192" s="11"/>
      <c r="C192" s="11"/>
      <c r="D192" s="11"/>
      <c r="E192" s="11"/>
      <c r="F192" s="11"/>
      <c r="G192" s="11"/>
      <c r="H192" s="11"/>
      <c r="I192" s="11"/>
      <c r="J192" s="11"/>
      <c r="K192" s="11"/>
      <c r="L192" s="11"/>
    </row>
    <row r="193" spans="2:12" ht="15.75" customHeight="1">
      <c r="B193" s="11"/>
      <c r="C193" s="11"/>
      <c r="D193" s="11"/>
      <c r="E193" s="11"/>
      <c r="F193" s="11"/>
      <c r="G193" s="11"/>
      <c r="H193" s="11"/>
      <c r="I193" s="11"/>
      <c r="J193" s="11"/>
      <c r="K193" s="11"/>
      <c r="L193" s="11"/>
    </row>
    <row r="194" spans="2:12" ht="15.75" customHeight="1">
      <c r="B194" s="11"/>
      <c r="C194" s="11"/>
      <c r="D194" s="11"/>
      <c r="E194" s="11"/>
      <c r="F194" s="11"/>
      <c r="G194" s="11"/>
      <c r="H194" s="11"/>
      <c r="I194" s="11"/>
      <c r="J194" s="11"/>
      <c r="K194" s="11"/>
      <c r="L194" s="11"/>
    </row>
    <row r="195" spans="2:12" ht="15.75" customHeight="1">
      <c r="B195" s="11"/>
      <c r="C195" s="11"/>
      <c r="D195" s="11"/>
      <c r="E195" s="11"/>
      <c r="F195" s="11"/>
      <c r="G195" s="11"/>
      <c r="H195" s="11"/>
      <c r="I195" s="11"/>
      <c r="J195" s="11"/>
      <c r="K195" s="11"/>
      <c r="L195" s="11"/>
    </row>
    <row r="196" spans="2:12" ht="15.75" customHeight="1">
      <c r="B196" s="11"/>
      <c r="C196" s="11"/>
      <c r="D196" s="11"/>
      <c r="E196" s="11"/>
      <c r="F196" s="11"/>
      <c r="G196" s="11"/>
      <c r="H196" s="11"/>
      <c r="I196" s="11"/>
      <c r="J196" s="11"/>
      <c r="K196" s="11"/>
      <c r="L196" s="11"/>
    </row>
    <row r="197" spans="2:12" ht="15.75" customHeight="1">
      <c r="B197" s="11"/>
      <c r="C197" s="11"/>
      <c r="D197" s="11"/>
      <c r="E197" s="11"/>
      <c r="F197" s="11"/>
      <c r="G197" s="11"/>
      <c r="H197" s="11"/>
      <c r="I197" s="11"/>
      <c r="J197" s="11"/>
      <c r="K197" s="11"/>
      <c r="L197" s="11"/>
    </row>
    <row r="198" spans="2:12" ht="15.75" customHeight="1">
      <c r="B198" s="11"/>
      <c r="C198" s="11"/>
      <c r="D198" s="11"/>
      <c r="E198" s="11"/>
      <c r="F198" s="11"/>
      <c r="G198" s="11"/>
      <c r="H198" s="11"/>
      <c r="I198" s="11"/>
      <c r="J198" s="11"/>
      <c r="K198" s="11"/>
      <c r="L198" s="11"/>
    </row>
    <row r="199" spans="2:12" ht="15.75" customHeight="1">
      <c r="B199" s="11"/>
      <c r="C199" s="11"/>
      <c r="D199" s="11"/>
      <c r="E199" s="11"/>
      <c r="F199" s="11"/>
      <c r="G199" s="11"/>
      <c r="H199" s="11"/>
      <c r="I199" s="11"/>
      <c r="J199" s="11"/>
      <c r="K199" s="11"/>
      <c r="L199" s="11"/>
    </row>
    <row r="200" spans="2:12" ht="15.75" customHeight="1">
      <c r="B200" s="11"/>
      <c r="C200" s="11"/>
      <c r="D200" s="11"/>
      <c r="E200" s="11"/>
      <c r="F200" s="11"/>
      <c r="G200" s="11"/>
      <c r="H200" s="11"/>
      <c r="I200" s="11"/>
      <c r="J200" s="11"/>
      <c r="K200" s="11"/>
      <c r="L200" s="11"/>
    </row>
    <row r="201" spans="2:12" ht="15.75" customHeight="1">
      <c r="B201" s="11"/>
      <c r="C201" s="11"/>
      <c r="D201" s="11"/>
      <c r="E201" s="11"/>
      <c r="F201" s="11"/>
      <c r="G201" s="11"/>
      <c r="H201" s="11"/>
      <c r="I201" s="11"/>
      <c r="J201" s="11"/>
      <c r="K201" s="11"/>
      <c r="L201" s="11"/>
    </row>
    <row r="202" spans="2:12" ht="15.75" customHeight="1">
      <c r="B202" s="11"/>
      <c r="C202" s="11"/>
      <c r="D202" s="11"/>
      <c r="E202" s="11"/>
      <c r="F202" s="11"/>
      <c r="G202" s="11"/>
      <c r="H202" s="11"/>
      <c r="I202" s="11"/>
      <c r="J202" s="11"/>
      <c r="K202" s="11"/>
      <c r="L202" s="11"/>
    </row>
    <row r="203" spans="2:12" ht="15.75" customHeight="1">
      <c r="B203" s="11"/>
      <c r="C203" s="11"/>
      <c r="D203" s="11"/>
      <c r="E203" s="11"/>
      <c r="F203" s="11"/>
      <c r="G203" s="11"/>
      <c r="H203" s="11"/>
      <c r="I203" s="11"/>
      <c r="J203" s="11"/>
      <c r="K203" s="11"/>
      <c r="L203" s="11"/>
    </row>
    <row r="204" spans="2:12" ht="15.75" customHeight="1">
      <c r="B204" s="11"/>
      <c r="C204" s="11"/>
      <c r="D204" s="11"/>
      <c r="E204" s="11"/>
      <c r="F204" s="11"/>
      <c r="G204" s="11"/>
      <c r="H204" s="11"/>
      <c r="I204" s="11"/>
      <c r="J204" s="11"/>
      <c r="K204" s="11"/>
      <c r="L204" s="11"/>
    </row>
    <row r="205" spans="2:12" ht="15.75" customHeight="1">
      <c r="B205" s="11"/>
      <c r="C205" s="11"/>
      <c r="D205" s="11"/>
      <c r="E205" s="11"/>
      <c r="F205" s="11"/>
      <c r="G205" s="11"/>
      <c r="H205" s="11"/>
      <c r="I205" s="11"/>
      <c r="J205" s="11"/>
      <c r="K205" s="11"/>
      <c r="L205" s="11"/>
    </row>
    <row r="206" spans="2:12" ht="15.75" customHeight="1">
      <c r="B206" s="11"/>
      <c r="C206" s="11"/>
      <c r="D206" s="11"/>
      <c r="E206" s="11"/>
      <c r="F206" s="11"/>
      <c r="G206" s="11"/>
      <c r="H206" s="11"/>
      <c r="I206" s="11"/>
      <c r="J206" s="11"/>
      <c r="K206" s="11"/>
      <c r="L206" s="11"/>
    </row>
    <row r="207" spans="2:12" ht="15.75" customHeight="1">
      <c r="B207" s="11"/>
      <c r="C207" s="11"/>
      <c r="D207" s="11"/>
      <c r="E207" s="11"/>
      <c r="F207" s="11"/>
      <c r="G207" s="11"/>
      <c r="H207" s="11"/>
      <c r="I207" s="11"/>
      <c r="J207" s="11"/>
      <c r="K207" s="11"/>
      <c r="L207" s="11"/>
    </row>
    <row r="208" spans="2:12" ht="15.75" customHeight="1">
      <c r="B208" s="11"/>
      <c r="C208" s="11"/>
      <c r="D208" s="11"/>
      <c r="E208" s="11"/>
      <c r="F208" s="11"/>
      <c r="G208" s="11"/>
      <c r="H208" s="11"/>
      <c r="I208" s="11"/>
      <c r="J208" s="11"/>
      <c r="K208" s="11"/>
      <c r="L208" s="11"/>
    </row>
    <row r="209" spans="2:12" ht="15.75" customHeight="1">
      <c r="B209" s="11"/>
      <c r="C209" s="11"/>
      <c r="D209" s="11"/>
      <c r="E209" s="11"/>
      <c r="F209" s="11"/>
      <c r="G209" s="11"/>
      <c r="H209" s="11"/>
      <c r="I209" s="11"/>
      <c r="J209" s="11"/>
      <c r="K209" s="11"/>
      <c r="L209" s="11"/>
    </row>
    <row r="210" spans="2:12" ht="15.75" customHeight="1">
      <c r="B210" s="11"/>
      <c r="C210" s="11"/>
      <c r="D210" s="11"/>
      <c r="E210" s="11"/>
      <c r="F210" s="11"/>
      <c r="G210" s="11"/>
      <c r="H210" s="11"/>
      <c r="I210" s="11"/>
      <c r="J210" s="11"/>
      <c r="K210" s="11"/>
      <c r="L210" s="11"/>
    </row>
    <row r="211" spans="2:12" ht="15.75" customHeight="1">
      <c r="B211" s="11"/>
      <c r="C211" s="11"/>
      <c r="D211" s="11"/>
      <c r="E211" s="11"/>
      <c r="F211" s="11"/>
      <c r="G211" s="11"/>
      <c r="H211" s="11"/>
      <c r="I211" s="11"/>
      <c r="J211" s="11"/>
      <c r="K211" s="11"/>
      <c r="L211" s="11"/>
    </row>
    <row r="212" spans="2:12" ht="15.75" customHeight="1">
      <c r="B212" s="11"/>
      <c r="C212" s="11"/>
      <c r="D212" s="11"/>
      <c r="E212" s="11"/>
      <c r="F212" s="11"/>
      <c r="G212" s="11"/>
      <c r="H212" s="11"/>
      <c r="I212" s="11"/>
      <c r="J212" s="11"/>
      <c r="K212" s="11"/>
      <c r="L212" s="11"/>
    </row>
    <row r="213" spans="2:12" ht="15.75" customHeight="1">
      <c r="B213" s="11"/>
      <c r="C213" s="11"/>
      <c r="D213" s="11"/>
      <c r="E213" s="11"/>
      <c r="F213" s="11"/>
      <c r="G213" s="11"/>
      <c r="H213" s="11"/>
      <c r="I213" s="11"/>
      <c r="J213" s="11"/>
      <c r="K213" s="11"/>
      <c r="L213" s="11"/>
    </row>
    <row r="214" spans="2:12" ht="15.75" customHeight="1">
      <c r="B214" s="11"/>
      <c r="C214" s="11"/>
      <c r="D214" s="11"/>
      <c r="E214" s="11"/>
      <c r="F214" s="11"/>
      <c r="G214" s="11"/>
      <c r="H214" s="11"/>
      <c r="I214" s="11"/>
      <c r="J214" s="11"/>
      <c r="K214" s="11"/>
      <c r="L214" s="11"/>
    </row>
    <row r="215" spans="2:12" ht="15.75" customHeight="1">
      <c r="B215" s="11"/>
      <c r="C215" s="11"/>
      <c r="D215" s="11"/>
      <c r="E215" s="11"/>
      <c r="F215" s="11"/>
      <c r="G215" s="11"/>
      <c r="H215" s="11"/>
      <c r="I215" s="11"/>
      <c r="J215" s="11"/>
      <c r="K215" s="11"/>
      <c r="L215" s="11"/>
    </row>
    <row r="216" spans="2:12" ht="15.75" customHeight="1">
      <c r="B216" s="11"/>
      <c r="C216" s="11"/>
      <c r="D216" s="11"/>
      <c r="E216" s="11"/>
      <c r="F216" s="11"/>
      <c r="G216" s="11"/>
      <c r="H216" s="11"/>
      <c r="I216" s="11"/>
      <c r="J216" s="11"/>
      <c r="K216" s="11"/>
      <c r="L216" s="11"/>
    </row>
    <row r="217" spans="2:12" ht="15.75" customHeight="1">
      <c r="B217" s="11"/>
      <c r="C217" s="11"/>
      <c r="D217" s="11"/>
      <c r="E217" s="11"/>
      <c r="F217" s="11"/>
      <c r="G217" s="11"/>
      <c r="H217" s="11"/>
      <c r="I217" s="11"/>
      <c r="J217" s="11"/>
      <c r="K217" s="11"/>
      <c r="L217" s="11"/>
    </row>
    <row r="218" spans="2:12" ht="15.75" customHeight="1">
      <c r="B218" s="11"/>
      <c r="C218" s="11"/>
      <c r="D218" s="11"/>
      <c r="E218" s="11"/>
      <c r="F218" s="11"/>
      <c r="G218" s="11"/>
      <c r="H218" s="11"/>
      <c r="I218" s="11"/>
      <c r="J218" s="11"/>
      <c r="K218" s="11"/>
      <c r="L218" s="11"/>
    </row>
    <row r="219" spans="2:12" ht="15.75" customHeight="1">
      <c r="B219" s="11"/>
      <c r="C219" s="11"/>
      <c r="D219" s="11"/>
      <c r="E219" s="11"/>
      <c r="F219" s="11"/>
      <c r="G219" s="11"/>
      <c r="H219" s="11"/>
      <c r="I219" s="11"/>
      <c r="J219" s="11"/>
      <c r="K219" s="11"/>
      <c r="L219" s="11"/>
    </row>
    <row r="220" spans="2:12" ht="15.75" customHeight="1">
      <c r="B220" s="11"/>
      <c r="C220" s="11"/>
      <c r="D220" s="11"/>
      <c r="E220" s="11"/>
      <c r="F220" s="11"/>
      <c r="G220" s="11"/>
      <c r="H220" s="11"/>
      <c r="I220" s="11"/>
      <c r="J220" s="11"/>
      <c r="K220" s="11"/>
      <c r="L220" s="11"/>
    </row>
    <row r="221" spans="2:12" ht="15.75" customHeight="1">
      <c r="B221" s="11"/>
      <c r="C221" s="11"/>
      <c r="D221" s="11"/>
      <c r="E221" s="11"/>
      <c r="F221" s="11"/>
      <c r="G221" s="11"/>
      <c r="H221" s="11"/>
      <c r="I221" s="11"/>
      <c r="J221" s="11"/>
      <c r="K221" s="11"/>
      <c r="L221" s="11"/>
    </row>
    <row r="222" spans="2:12" ht="15.75" customHeight="1">
      <c r="B222" s="11"/>
      <c r="C222" s="11"/>
      <c r="D222" s="11"/>
      <c r="E222" s="11"/>
      <c r="F222" s="11"/>
      <c r="G222" s="11"/>
      <c r="H222" s="11"/>
      <c r="I222" s="11"/>
      <c r="J222" s="11"/>
      <c r="K222" s="11"/>
      <c r="L222" s="11"/>
    </row>
    <row r="223" spans="2:12" ht="15.75" customHeight="1">
      <c r="B223" s="11"/>
      <c r="C223" s="11"/>
      <c r="D223" s="11"/>
      <c r="E223" s="11"/>
      <c r="F223" s="11"/>
      <c r="G223" s="11"/>
      <c r="H223" s="11"/>
      <c r="I223" s="11"/>
      <c r="J223" s="11"/>
      <c r="K223" s="11"/>
      <c r="L223" s="11"/>
    </row>
    <row r="224" spans="2:12" ht="15.75" customHeight="1">
      <c r="B224" s="11"/>
      <c r="C224" s="11"/>
      <c r="D224" s="11"/>
      <c r="E224" s="11"/>
      <c r="F224" s="11"/>
      <c r="G224" s="11"/>
      <c r="H224" s="11"/>
      <c r="I224" s="11"/>
      <c r="J224" s="11"/>
      <c r="K224" s="11"/>
      <c r="L224" s="11"/>
    </row>
    <row r="225" spans="2:12" ht="15.75" customHeight="1">
      <c r="B225" s="11"/>
      <c r="C225" s="11"/>
      <c r="D225" s="11"/>
      <c r="E225" s="11"/>
      <c r="F225" s="11"/>
      <c r="G225" s="11"/>
      <c r="H225" s="11"/>
      <c r="I225" s="11"/>
      <c r="J225" s="11"/>
      <c r="K225" s="11"/>
      <c r="L225" s="11"/>
    </row>
    <row r="226" spans="2:12" ht="15.75" customHeight="1">
      <c r="B226" s="11"/>
      <c r="C226" s="11"/>
      <c r="D226" s="11"/>
      <c r="E226" s="11"/>
      <c r="F226" s="11"/>
      <c r="G226" s="11"/>
      <c r="H226" s="11"/>
      <c r="I226" s="11"/>
      <c r="J226" s="11"/>
      <c r="K226" s="11"/>
      <c r="L226" s="11"/>
    </row>
    <row r="227" spans="2:12" ht="15.75" customHeight="1">
      <c r="B227" s="11"/>
      <c r="C227" s="11"/>
      <c r="D227" s="11"/>
      <c r="E227" s="11"/>
      <c r="F227" s="11"/>
      <c r="G227" s="11"/>
      <c r="H227" s="11"/>
      <c r="I227" s="11"/>
      <c r="J227" s="11"/>
      <c r="K227" s="11"/>
      <c r="L227" s="11"/>
    </row>
    <row r="228" spans="2:12" ht="15.75" customHeight="1">
      <c r="B228" s="11"/>
      <c r="C228" s="11"/>
      <c r="D228" s="11"/>
      <c r="E228" s="11"/>
      <c r="F228" s="11"/>
      <c r="G228" s="11"/>
      <c r="H228" s="11"/>
      <c r="I228" s="11"/>
      <c r="J228" s="11"/>
      <c r="K228" s="11"/>
      <c r="L228" s="11"/>
    </row>
    <row r="229" spans="2:12" ht="15.75" customHeight="1">
      <c r="B229" s="11"/>
      <c r="C229" s="11"/>
      <c r="D229" s="11"/>
      <c r="E229" s="11"/>
      <c r="F229" s="11"/>
      <c r="G229" s="11"/>
      <c r="H229" s="11"/>
      <c r="I229" s="11"/>
      <c r="J229" s="11"/>
      <c r="K229" s="11"/>
      <c r="L229" s="11"/>
    </row>
    <row r="230" spans="2:12" ht="15.75" customHeight="1">
      <c r="B230" s="11"/>
      <c r="C230" s="11"/>
      <c r="D230" s="11"/>
      <c r="E230" s="11"/>
      <c r="F230" s="11"/>
      <c r="G230" s="11"/>
      <c r="H230" s="11"/>
      <c r="I230" s="11"/>
      <c r="J230" s="11"/>
      <c r="K230" s="11"/>
      <c r="L230" s="11"/>
    </row>
    <row r="231" spans="2:12" ht="15.75" customHeight="1">
      <c r="B231" s="11"/>
      <c r="C231" s="11"/>
      <c r="D231" s="11"/>
      <c r="E231" s="11"/>
      <c r="F231" s="11"/>
      <c r="G231" s="11"/>
      <c r="H231" s="11"/>
      <c r="I231" s="11"/>
      <c r="J231" s="11"/>
      <c r="K231" s="11"/>
      <c r="L231" s="11"/>
    </row>
    <row r="232" spans="2:12" ht="15.75" customHeight="1">
      <c r="B232" s="11"/>
      <c r="C232" s="11"/>
      <c r="D232" s="11"/>
      <c r="E232" s="11"/>
      <c r="F232" s="11"/>
      <c r="G232" s="11"/>
      <c r="H232" s="11"/>
      <c r="I232" s="11"/>
      <c r="J232" s="11"/>
      <c r="K232" s="11"/>
      <c r="L232" s="11"/>
    </row>
    <row r="233" spans="2:12" ht="15.75" customHeight="1">
      <c r="B233" s="11"/>
      <c r="C233" s="11"/>
      <c r="D233" s="11"/>
      <c r="E233" s="11"/>
      <c r="F233" s="11"/>
      <c r="G233" s="11"/>
      <c r="H233" s="11"/>
      <c r="I233" s="11"/>
      <c r="J233" s="11"/>
      <c r="K233" s="11"/>
      <c r="L233" s="11"/>
    </row>
    <row r="234" spans="2:12" ht="15.75" customHeight="1">
      <c r="B234" s="11"/>
      <c r="C234" s="11"/>
      <c r="D234" s="11"/>
      <c r="E234" s="11"/>
      <c r="F234" s="11"/>
      <c r="G234" s="11"/>
      <c r="H234" s="11"/>
      <c r="I234" s="11"/>
      <c r="J234" s="11"/>
      <c r="K234" s="11"/>
      <c r="L234" s="11"/>
    </row>
    <row r="235" spans="2:12" ht="15.75" customHeight="1">
      <c r="B235" s="11"/>
      <c r="C235" s="11"/>
      <c r="D235" s="11"/>
      <c r="E235" s="11"/>
      <c r="F235" s="11"/>
      <c r="G235" s="11"/>
      <c r="H235" s="11"/>
      <c r="I235" s="11"/>
      <c r="J235" s="11"/>
      <c r="K235" s="11"/>
      <c r="L235" s="11"/>
    </row>
    <row r="236" spans="2:12" ht="15.75" customHeight="1">
      <c r="B236" s="11"/>
      <c r="C236" s="11"/>
      <c r="D236" s="11"/>
      <c r="E236" s="11"/>
      <c r="F236" s="11"/>
      <c r="G236" s="11"/>
      <c r="H236" s="11"/>
      <c r="I236" s="11"/>
      <c r="J236" s="11"/>
      <c r="K236" s="11"/>
      <c r="L236" s="11"/>
    </row>
    <row r="237" spans="2:12" ht="15.75" customHeight="1">
      <c r="B237" s="11"/>
      <c r="C237" s="11"/>
      <c r="D237" s="11"/>
      <c r="E237" s="11"/>
      <c r="F237" s="11"/>
      <c r="G237" s="11"/>
      <c r="H237" s="11"/>
      <c r="I237" s="11"/>
      <c r="J237" s="11"/>
      <c r="K237" s="11"/>
      <c r="L237" s="11"/>
    </row>
    <row r="238" spans="2:12" ht="15.75" customHeight="1">
      <c r="B238" s="11"/>
      <c r="C238" s="11"/>
      <c r="D238" s="11"/>
      <c r="E238" s="11"/>
      <c r="F238" s="11"/>
      <c r="G238" s="11"/>
      <c r="H238" s="11"/>
      <c r="I238" s="11"/>
      <c r="J238" s="11"/>
      <c r="K238" s="11"/>
      <c r="L238" s="11"/>
    </row>
    <row r="239" spans="2:12" ht="15.75" customHeight="1"/>
    <row r="240" spans="2:12"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
    <mergeCell ref="E8:E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pageSetUpPr fitToPage="1"/>
  </sheetPr>
  <dimension ref="A1:M40"/>
  <sheetViews>
    <sheetView tabSelected="1" workbookViewId="0">
      <pane ySplit="1" topLeftCell="A2" activePane="bottomLeft" state="frozen"/>
      <selection pane="bottomLeft" sqref="A1:XFD1"/>
    </sheetView>
  </sheetViews>
  <sheetFormatPr defaultColWidth="12.609375" defaultRowHeight="15" customHeight="1"/>
  <cols>
    <col min="1" max="1" width="3.109375" customWidth="1"/>
    <col min="4" max="4" width="18.88671875" customWidth="1"/>
    <col min="13" max="13" width="47.71875" customWidth="1"/>
  </cols>
  <sheetData>
    <row r="1" spans="1:13" ht="56.1" customHeight="1">
      <c r="A1" s="4"/>
      <c r="B1" s="12" t="s">
        <v>29</v>
      </c>
      <c r="C1" s="8" t="s">
        <v>37</v>
      </c>
      <c r="D1" s="8" t="s">
        <v>36</v>
      </c>
      <c r="E1" s="13" t="s">
        <v>175</v>
      </c>
      <c r="F1" s="8" t="s">
        <v>176</v>
      </c>
      <c r="G1" s="13" t="s">
        <v>177</v>
      </c>
      <c r="H1" s="13" t="s">
        <v>178</v>
      </c>
      <c r="I1" s="13" t="s">
        <v>38</v>
      </c>
      <c r="J1" s="13" t="s">
        <v>32</v>
      </c>
      <c r="K1" s="13" t="s">
        <v>33</v>
      </c>
      <c r="L1" s="13" t="s">
        <v>34</v>
      </c>
      <c r="M1" s="14" t="s">
        <v>35</v>
      </c>
    </row>
    <row r="2" spans="1:13" ht="15" customHeight="1">
      <c r="A2" s="7">
        <v>1</v>
      </c>
      <c r="B2" s="15">
        <v>45989</v>
      </c>
      <c r="C2" s="16">
        <v>0.33333333333333331</v>
      </c>
      <c r="D2" s="18" t="str">
        <f>'112225'!D2</f>
        <v>RALPH BAKER 1</v>
      </c>
      <c r="E2" s="18">
        <v>1</v>
      </c>
      <c r="F2" s="24">
        <v>4</v>
      </c>
      <c r="G2" s="18">
        <v>1.5</v>
      </c>
      <c r="H2" s="18">
        <v>23</v>
      </c>
      <c r="I2" s="18">
        <v>29</v>
      </c>
      <c r="J2" s="18">
        <v>120</v>
      </c>
      <c r="K2" s="18"/>
      <c r="L2" s="18">
        <v>32</v>
      </c>
      <c r="M2" s="19" t="s">
        <v>39</v>
      </c>
    </row>
    <row r="3" spans="1:13" ht="15" customHeight="1">
      <c r="A3" s="20">
        <v>2</v>
      </c>
      <c r="B3" s="15">
        <v>45989</v>
      </c>
      <c r="C3" s="21">
        <v>0.34375</v>
      </c>
      <c r="D3" s="18" t="str">
        <f>'112225'!D3</f>
        <v>SALLY 1-12H</v>
      </c>
      <c r="E3" s="23">
        <v>1</v>
      </c>
      <c r="F3" s="24">
        <v>2</v>
      </c>
      <c r="G3" s="24">
        <v>8</v>
      </c>
      <c r="H3" s="24">
        <v>155</v>
      </c>
      <c r="I3" s="24">
        <v>173</v>
      </c>
      <c r="J3" s="24">
        <v>100</v>
      </c>
      <c r="K3" s="24">
        <v>30</v>
      </c>
      <c r="L3" s="24">
        <v>35</v>
      </c>
      <c r="M3" s="25" t="s">
        <v>39</v>
      </c>
    </row>
    <row r="4" spans="1:13" ht="15" customHeight="1">
      <c r="A4" s="20">
        <v>3</v>
      </c>
      <c r="B4" s="15">
        <v>45989</v>
      </c>
      <c r="C4" s="21">
        <v>0.35416666666666669</v>
      </c>
      <c r="D4" s="18" t="str">
        <f>'112225'!D4</f>
        <v>ANITA 1-13H</v>
      </c>
      <c r="E4" s="24">
        <v>2</v>
      </c>
      <c r="F4" s="24">
        <v>1</v>
      </c>
      <c r="G4" s="24">
        <v>0</v>
      </c>
      <c r="H4" s="24">
        <v>89</v>
      </c>
      <c r="I4" s="24">
        <v>127</v>
      </c>
      <c r="J4" s="24">
        <v>200</v>
      </c>
      <c r="K4" s="24">
        <v>50</v>
      </c>
      <c r="L4" s="24">
        <v>37</v>
      </c>
      <c r="M4" s="27" t="s">
        <v>39</v>
      </c>
    </row>
    <row r="5" spans="1:13" ht="15" customHeight="1">
      <c r="A5" s="7">
        <v>4</v>
      </c>
      <c r="B5" s="15">
        <v>45989</v>
      </c>
      <c r="C5" s="16">
        <v>0.36458333333333331</v>
      </c>
      <c r="D5" s="18" t="str">
        <f>'112225'!D5</f>
        <v>ARIANA 1-18H</v>
      </c>
      <c r="E5" s="18">
        <v>1</v>
      </c>
      <c r="F5" s="18">
        <v>2</v>
      </c>
      <c r="G5" s="18">
        <v>3</v>
      </c>
      <c r="H5" s="18">
        <v>122</v>
      </c>
      <c r="I5" s="18">
        <v>129</v>
      </c>
      <c r="J5" s="18">
        <v>150</v>
      </c>
      <c r="K5" s="18">
        <v>30</v>
      </c>
      <c r="L5" s="18">
        <v>41</v>
      </c>
      <c r="M5" s="19" t="s">
        <v>39</v>
      </c>
    </row>
    <row r="6" spans="1:13" ht="15" customHeight="1">
      <c r="A6" s="7">
        <v>5</v>
      </c>
      <c r="B6" s="15">
        <v>45989</v>
      </c>
      <c r="C6" s="16">
        <v>0.375</v>
      </c>
      <c r="D6" s="18" t="str">
        <f>'112225'!D6</f>
        <v>CLAY 1-6H</v>
      </c>
      <c r="E6" s="18">
        <v>1</v>
      </c>
      <c r="F6" s="18">
        <v>3</v>
      </c>
      <c r="G6" s="18">
        <v>0</v>
      </c>
      <c r="H6" s="18">
        <v>228</v>
      </c>
      <c r="I6" s="18">
        <v>0</v>
      </c>
      <c r="J6" s="18">
        <v>150</v>
      </c>
      <c r="K6" s="18">
        <v>30</v>
      </c>
      <c r="L6" s="18">
        <v>36</v>
      </c>
      <c r="M6" s="19" t="s">
        <v>39</v>
      </c>
    </row>
    <row r="7" spans="1:13" ht="15" customHeight="1">
      <c r="A7" s="7">
        <v>6</v>
      </c>
      <c r="B7" s="15">
        <v>45989</v>
      </c>
      <c r="C7" s="16">
        <v>0.38541666666666669</v>
      </c>
      <c r="D7" s="18" t="str">
        <f>'112225'!D7</f>
        <v>ARIANA 1-7H</v>
      </c>
      <c r="E7" s="18">
        <v>1</v>
      </c>
      <c r="F7" s="18">
        <v>2</v>
      </c>
      <c r="G7" s="18">
        <v>0</v>
      </c>
      <c r="H7" s="18">
        <v>179</v>
      </c>
      <c r="I7" s="18">
        <v>155</v>
      </c>
      <c r="J7" s="18">
        <v>80</v>
      </c>
      <c r="K7" s="18">
        <v>50</v>
      </c>
      <c r="L7" s="18">
        <v>36</v>
      </c>
      <c r="M7" s="19" t="s">
        <v>39</v>
      </c>
    </row>
    <row r="8" spans="1:13" ht="15" customHeight="1">
      <c r="A8" s="7">
        <v>7</v>
      </c>
      <c r="B8" s="15">
        <v>45989</v>
      </c>
      <c r="C8" s="16">
        <v>0.3923611111111111</v>
      </c>
      <c r="D8" s="18" t="str">
        <f>'112225'!D8</f>
        <v>PEPPER 3-4H</v>
      </c>
      <c r="E8" s="49">
        <v>1</v>
      </c>
      <c r="F8" s="18">
        <v>1</v>
      </c>
      <c r="G8" s="18">
        <v>11</v>
      </c>
      <c r="H8" s="18">
        <v>44</v>
      </c>
      <c r="I8" s="18">
        <v>71</v>
      </c>
      <c r="J8" s="18"/>
      <c r="K8" s="18"/>
      <c r="L8" s="18">
        <v>32</v>
      </c>
      <c r="M8" s="28" t="s">
        <v>86</v>
      </c>
    </row>
    <row r="9" spans="1:13" ht="15" customHeight="1">
      <c r="A9" s="7">
        <v>8</v>
      </c>
      <c r="B9" s="15">
        <v>45989</v>
      </c>
      <c r="C9" s="16"/>
      <c r="D9" s="18" t="str">
        <f>'112225'!D9</f>
        <v>PEPPER 4-4H</v>
      </c>
      <c r="E9" s="50"/>
      <c r="F9" s="18"/>
      <c r="G9" s="18"/>
      <c r="H9" s="18">
        <v>0</v>
      </c>
      <c r="I9" s="18">
        <v>0</v>
      </c>
      <c r="J9" s="18"/>
      <c r="K9" s="18"/>
      <c r="L9" s="18">
        <v>29</v>
      </c>
      <c r="M9" s="28" t="s">
        <v>87</v>
      </c>
    </row>
    <row r="10" spans="1:13" ht="15" customHeight="1">
      <c r="A10" s="20">
        <v>9</v>
      </c>
      <c r="B10" s="15">
        <v>45989</v>
      </c>
      <c r="C10" s="21">
        <v>0.41319444444444442</v>
      </c>
      <c r="D10" s="18" t="str">
        <f>'112225'!D10</f>
        <v>BIRD 3319 1-6</v>
      </c>
      <c r="E10" s="23">
        <v>1</v>
      </c>
      <c r="F10" s="24">
        <v>2</v>
      </c>
      <c r="G10" s="24">
        <v>0</v>
      </c>
      <c r="H10" s="24">
        <v>0</v>
      </c>
      <c r="I10" s="24">
        <v>0</v>
      </c>
      <c r="J10" s="24">
        <v>150</v>
      </c>
      <c r="K10" s="24">
        <v>30</v>
      </c>
      <c r="L10" s="24">
        <v>34</v>
      </c>
      <c r="M10" s="19" t="s">
        <v>39</v>
      </c>
    </row>
    <row r="11" spans="1:13" ht="15" customHeight="1">
      <c r="A11" s="7">
        <v>10</v>
      </c>
      <c r="B11" s="15">
        <v>45989</v>
      </c>
      <c r="C11" s="16"/>
      <c r="D11" s="18" t="str">
        <f>'112225'!D11</f>
        <v>BIRD 3319 3-6</v>
      </c>
      <c r="E11" s="18"/>
      <c r="F11" s="18"/>
      <c r="G11" s="18"/>
      <c r="H11" s="18">
        <v>39</v>
      </c>
      <c r="I11" s="18">
        <v>49</v>
      </c>
      <c r="J11" s="18"/>
      <c r="K11" s="18"/>
      <c r="L11" s="18">
        <v>34</v>
      </c>
      <c r="M11" s="19" t="s">
        <v>88</v>
      </c>
    </row>
    <row r="12" spans="1:13" ht="15" customHeight="1">
      <c r="A12" s="7">
        <v>11</v>
      </c>
      <c r="B12" s="15">
        <v>45989</v>
      </c>
      <c r="C12" s="16">
        <v>0.42708333333333331</v>
      </c>
      <c r="D12" s="18" t="str">
        <f>'112225'!D12</f>
        <v>JELLISON A 11-5</v>
      </c>
      <c r="E12" s="18">
        <v>1</v>
      </c>
      <c r="F12" s="18">
        <v>1</v>
      </c>
      <c r="G12" s="18">
        <v>10</v>
      </c>
      <c r="H12" s="18">
        <v>9</v>
      </c>
      <c r="I12" s="18"/>
      <c r="J12" s="18"/>
      <c r="K12" s="18"/>
      <c r="L12" s="18"/>
      <c r="M12" s="19"/>
    </row>
    <row r="13" spans="1:13" ht="15" customHeight="1">
      <c r="A13" s="20">
        <v>12</v>
      </c>
      <c r="B13" s="15">
        <v>45989</v>
      </c>
      <c r="C13" s="21">
        <v>0.4375</v>
      </c>
      <c r="D13" s="18" t="str">
        <f>'112225'!D13</f>
        <v>ROCK 3319 1-16H</v>
      </c>
      <c r="E13" s="24">
        <v>1</v>
      </c>
      <c r="F13" s="24">
        <v>2</v>
      </c>
      <c r="G13" s="24">
        <v>2</v>
      </c>
      <c r="H13" s="24">
        <v>34</v>
      </c>
      <c r="I13" s="24">
        <v>15</v>
      </c>
      <c r="J13" s="24"/>
      <c r="K13" s="24"/>
      <c r="L13" s="24">
        <v>31</v>
      </c>
      <c r="M13" s="28" t="s">
        <v>89</v>
      </c>
    </row>
    <row r="14" spans="1:13" ht="15" customHeight="1">
      <c r="A14" s="7">
        <v>13</v>
      </c>
      <c r="B14" s="15">
        <v>45989</v>
      </c>
      <c r="C14" s="16">
        <v>0.58333333333333337</v>
      </c>
      <c r="D14" s="18" t="str">
        <f>'112225'!D14</f>
        <v>Dixie 3120 1‐25 SWD</v>
      </c>
      <c r="E14" s="18"/>
      <c r="F14" s="18"/>
      <c r="G14" s="18"/>
      <c r="H14" s="18"/>
      <c r="I14" s="18"/>
      <c r="J14" s="18"/>
      <c r="K14" s="18"/>
      <c r="L14" s="18"/>
      <c r="M14" s="19">
        <v>5623463</v>
      </c>
    </row>
    <row r="15" spans="1:13" ht="15" customHeight="1">
      <c r="A15" s="7">
        <v>14</v>
      </c>
      <c r="B15" s="15">
        <v>45989</v>
      </c>
      <c r="C15" s="16"/>
      <c r="D15" s="18" t="str">
        <f>'112225'!D15</f>
        <v>GARLAND 1-26H</v>
      </c>
      <c r="E15" s="18">
        <v>1</v>
      </c>
      <c r="F15" s="18">
        <v>3</v>
      </c>
      <c r="G15" s="18">
        <v>3.5</v>
      </c>
      <c r="H15" s="18">
        <v>93</v>
      </c>
      <c r="I15" s="18">
        <v>139</v>
      </c>
      <c r="J15" s="18">
        <v>200</v>
      </c>
      <c r="K15" s="18">
        <v>7</v>
      </c>
      <c r="L15" s="18">
        <v>73</v>
      </c>
      <c r="M15" s="28" t="s">
        <v>90</v>
      </c>
    </row>
    <row r="16" spans="1:13" ht="15" customHeight="1">
      <c r="A16" s="7">
        <v>15</v>
      </c>
      <c r="B16" s="15">
        <v>45989</v>
      </c>
      <c r="C16" s="16">
        <v>0.60416666666666663</v>
      </c>
      <c r="D16" s="18" t="str">
        <f>'112225'!D16</f>
        <v>PTL 1-15H</v>
      </c>
      <c r="E16" s="18">
        <v>1</v>
      </c>
      <c r="F16" s="18">
        <v>7</v>
      </c>
      <c r="G16" s="18">
        <v>6</v>
      </c>
      <c r="H16" s="18">
        <v>34</v>
      </c>
      <c r="I16" s="18">
        <v>54</v>
      </c>
      <c r="J16" s="18">
        <v>150</v>
      </c>
      <c r="K16" s="18">
        <v>50</v>
      </c>
      <c r="L16" s="18">
        <v>50</v>
      </c>
      <c r="M16" s="19" t="s">
        <v>39</v>
      </c>
    </row>
    <row r="17" spans="1:13" ht="15" customHeight="1">
      <c r="A17" s="7">
        <v>16</v>
      </c>
      <c r="B17" s="15">
        <v>45989</v>
      </c>
      <c r="C17" s="16"/>
      <c r="D17" s="18" t="str">
        <f>'112225'!D17</f>
        <v>GABRIEL 2-12H</v>
      </c>
      <c r="E17" s="18">
        <v>2</v>
      </c>
      <c r="F17" s="18">
        <v>9</v>
      </c>
      <c r="G17" s="18">
        <v>7</v>
      </c>
      <c r="H17" s="18">
        <v>48</v>
      </c>
      <c r="I17" s="18">
        <v>24</v>
      </c>
      <c r="J17" s="18">
        <v>150</v>
      </c>
      <c r="K17" s="18">
        <v>50</v>
      </c>
      <c r="L17" s="18">
        <v>50</v>
      </c>
      <c r="M17" s="19" t="s">
        <v>39</v>
      </c>
    </row>
    <row r="18" spans="1:13" ht="15" customHeight="1">
      <c r="A18" s="7">
        <v>17</v>
      </c>
      <c r="B18" s="15">
        <v>45989</v>
      </c>
      <c r="C18" s="16"/>
      <c r="D18" s="18" t="str">
        <f>'112225'!D18</f>
        <v>GABRIEL 1-12H</v>
      </c>
      <c r="E18" s="18">
        <v>2</v>
      </c>
      <c r="F18" s="18">
        <v>4</v>
      </c>
      <c r="G18" s="18">
        <v>5</v>
      </c>
      <c r="H18" s="18">
        <v>44</v>
      </c>
      <c r="I18" s="18">
        <v>22</v>
      </c>
      <c r="J18" s="18">
        <v>100</v>
      </c>
      <c r="K18" s="18">
        <v>50</v>
      </c>
      <c r="L18" s="18">
        <v>56</v>
      </c>
      <c r="M18" s="19" t="s">
        <v>39</v>
      </c>
    </row>
    <row r="19" spans="1:13" ht="15" customHeight="1">
      <c r="A19" s="7">
        <v>18</v>
      </c>
      <c r="B19" s="15">
        <v>45989</v>
      </c>
      <c r="C19" s="16"/>
      <c r="D19" s="18" t="str">
        <f>'112225'!D19</f>
        <v>SEAN 1-18H</v>
      </c>
      <c r="E19" s="18">
        <v>1</v>
      </c>
      <c r="F19" s="18">
        <v>8</v>
      </c>
      <c r="G19" s="18">
        <v>2</v>
      </c>
      <c r="H19" s="18">
        <v>55</v>
      </c>
      <c r="I19" s="18">
        <v>51</v>
      </c>
      <c r="J19" s="18">
        <v>150</v>
      </c>
      <c r="K19" s="18">
        <v>50</v>
      </c>
      <c r="L19" s="18">
        <v>53</v>
      </c>
      <c r="M19" s="19" t="s">
        <v>39</v>
      </c>
    </row>
    <row r="20" spans="1:13" ht="15" customHeight="1">
      <c r="A20" s="7">
        <v>19</v>
      </c>
      <c r="B20" s="15">
        <v>45989</v>
      </c>
      <c r="C20" s="16"/>
      <c r="D20" s="18" t="str">
        <f>'112225'!D20</f>
        <v>SEAN 3119 3-18H</v>
      </c>
      <c r="E20" s="18">
        <v>1</v>
      </c>
      <c r="F20" s="18">
        <v>2</v>
      </c>
      <c r="G20" s="18">
        <v>0</v>
      </c>
      <c r="H20" s="18">
        <v>29</v>
      </c>
      <c r="I20" s="18">
        <v>31</v>
      </c>
      <c r="J20" s="18">
        <v>100</v>
      </c>
      <c r="K20" s="18">
        <v>50</v>
      </c>
      <c r="L20" s="18">
        <v>50</v>
      </c>
      <c r="M20" s="19" t="s">
        <v>39</v>
      </c>
    </row>
    <row r="21" spans="1:13" ht="15" customHeight="1">
      <c r="A21" s="7">
        <v>20</v>
      </c>
      <c r="B21" s="15">
        <v>45989</v>
      </c>
      <c r="C21" s="16"/>
      <c r="D21" s="18" t="str">
        <f>'112225'!D21</f>
        <v>ELLIS 2-19H</v>
      </c>
      <c r="E21" s="18">
        <v>1</v>
      </c>
      <c r="F21" s="18">
        <v>5</v>
      </c>
      <c r="G21" s="18">
        <v>9</v>
      </c>
      <c r="H21" s="18">
        <v>85</v>
      </c>
      <c r="I21" s="18">
        <v>94</v>
      </c>
      <c r="J21" s="18">
        <v>150</v>
      </c>
      <c r="K21" s="18">
        <v>50</v>
      </c>
      <c r="L21" s="18">
        <v>50</v>
      </c>
      <c r="M21" s="19" t="s">
        <v>39</v>
      </c>
    </row>
    <row r="22" spans="1:13" ht="15" customHeight="1">
      <c r="A22" s="7">
        <v>21</v>
      </c>
      <c r="B22" s="15">
        <v>45989</v>
      </c>
      <c r="C22" s="16"/>
      <c r="D22" s="18" t="str">
        <f>'112225'!D22</f>
        <v>BROTHERS 1-6H</v>
      </c>
      <c r="E22" s="18">
        <v>1</v>
      </c>
      <c r="F22" s="18">
        <v>4</v>
      </c>
      <c r="G22" s="18">
        <v>6</v>
      </c>
      <c r="H22" s="18">
        <v>44</v>
      </c>
      <c r="I22" s="18">
        <v>106</v>
      </c>
      <c r="J22" s="18">
        <v>100</v>
      </c>
      <c r="K22" s="18">
        <v>50</v>
      </c>
      <c r="L22" s="18">
        <v>71</v>
      </c>
      <c r="M22" s="28" t="s">
        <v>39</v>
      </c>
    </row>
    <row r="23" spans="1:13" ht="15" customHeight="1">
      <c r="A23" s="7">
        <v>22</v>
      </c>
      <c r="B23" s="15">
        <v>45989</v>
      </c>
      <c r="C23" s="16"/>
      <c r="D23" s="18" t="str">
        <f>'112225'!D23</f>
        <v>BROTHERS 2-6H</v>
      </c>
      <c r="E23" s="18">
        <v>1</v>
      </c>
      <c r="F23" s="18">
        <v>3</v>
      </c>
      <c r="G23" s="18">
        <v>3</v>
      </c>
      <c r="H23" s="18">
        <v>17</v>
      </c>
      <c r="I23" s="18">
        <v>104</v>
      </c>
      <c r="J23" s="18"/>
      <c r="K23" s="18"/>
      <c r="L23" s="18">
        <v>85</v>
      </c>
      <c r="M23" s="19" t="s">
        <v>39</v>
      </c>
    </row>
    <row r="24" spans="1:13" ht="15" customHeight="1">
      <c r="A24" s="20">
        <v>23</v>
      </c>
      <c r="B24" s="15">
        <v>45989</v>
      </c>
      <c r="C24" s="21">
        <v>0.5</v>
      </c>
      <c r="D24" s="18" t="str">
        <f>'112225'!D24</f>
        <v>SARAH 1-34H</v>
      </c>
      <c r="E24" s="23">
        <v>1</v>
      </c>
      <c r="F24" s="24">
        <v>5</v>
      </c>
      <c r="G24" s="24">
        <v>3</v>
      </c>
      <c r="H24" s="24">
        <v>9</v>
      </c>
      <c r="I24" s="24">
        <v>0</v>
      </c>
      <c r="J24" s="24"/>
      <c r="K24" s="24"/>
      <c r="L24" s="24">
        <v>50</v>
      </c>
      <c r="M24" s="27" t="s">
        <v>91</v>
      </c>
    </row>
    <row r="25" spans="1:13" ht="15" customHeight="1">
      <c r="A25" s="20">
        <v>24</v>
      </c>
      <c r="B25" s="15">
        <v>45989</v>
      </c>
      <c r="C25" s="21">
        <v>0.51041666666666663</v>
      </c>
      <c r="D25" s="18" t="str">
        <f>'112225'!D25</f>
        <v>SARAH 2-34H</v>
      </c>
      <c r="E25" s="23">
        <v>1</v>
      </c>
      <c r="F25" s="24">
        <v>4</v>
      </c>
      <c r="G25" s="24">
        <v>0</v>
      </c>
      <c r="H25" s="24">
        <v>46</v>
      </c>
      <c r="I25" s="24">
        <v>50</v>
      </c>
      <c r="J25" s="24"/>
      <c r="K25" s="24"/>
      <c r="L25" s="24">
        <v>50</v>
      </c>
      <c r="M25" s="27" t="s">
        <v>39</v>
      </c>
    </row>
    <row r="26" spans="1:13" ht="15" customHeight="1">
      <c r="A26" s="7">
        <v>25</v>
      </c>
      <c r="B26" s="15">
        <v>45989</v>
      </c>
      <c r="C26" s="16">
        <v>0.54166666666666663</v>
      </c>
      <c r="D26" s="18" t="str">
        <f>'112225'!D26</f>
        <v>WANDA 1-2H 1L</v>
      </c>
      <c r="E26" s="5">
        <v>1</v>
      </c>
      <c r="F26" s="18">
        <v>4</v>
      </c>
      <c r="G26" s="18">
        <v>4</v>
      </c>
      <c r="H26" s="18">
        <v>229</v>
      </c>
      <c r="I26" s="18">
        <v>160</v>
      </c>
      <c r="J26" s="18"/>
      <c r="K26" s="18"/>
      <c r="L26" s="18">
        <v>50</v>
      </c>
      <c r="M26" s="28" t="s">
        <v>39</v>
      </c>
    </row>
    <row r="27" spans="1:13" ht="15" customHeight="1">
      <c r="A27" s="7">
        <v>26</v>
      </c>
      <c r="B27" s="15">
        <v>45989</v>
      </c>
      <c r="C27" s="35">
        <v>0.5180555555555556</v>
      </c>
      <c r="D27" s="18" t="str">
        <f>'112225'!D27</f>
        <v>Yankee 3317 1-27 SWD</v>
      </c>
      <c r="E27" s="18"/>
      <c r="F27" s="18"/>
      <c r="G27" s="18"/>
      <c r="H27" s="36"/>
      <c r="I27" s="36"/>
      <c r="J27" s="36"/>
      <c r="K27" s="36"/>
      <c r="L27" s="36"/>
      <c r="M27" s="19">
        <v>7761384</v>
      </c>
    </row>
    <row r="28" spans="1:13" ht="15" customHeight="1">
      <c r="A28" s="7">
        <v>27</v>
      </c>
      <c r="B28" s="15">
        <v>45989</v>
      </c>
      <c r="C28" s="18"/>
      <c r="D28" s="18" t="s">
        <v>179</v>
      </c>
      <c r="E28" s="18"/>
      <c r="F28" s="18"/>
      <c r="G28" s="18"/>
      <c r="H28" s="18">
        <v>0</v>
      </c>
      <c r="I28" s="18">
        <v>0</v>
      </c>
      <c r="J28" s="18">
        <v>0</v>
      </c>
      <c r="K28" s="18">
        <v>39</v>
      </c>
      <c r="L28" s="18">
        <v>45</v>
      </c>
      <c r="M28" s="28" t="s">
        <v>92</v>
      </c>
    </row>
    <row r="29" spans="1:13" ht="12.3">
      <c r="A29" s="7">
        <v>28</v>
      </c>
      <c r="B29" s="15"/>
      <c r="C29" s="18"/>
      <c r="D29" s="18" t="s">
        <v>77</v>
      </c>
      <c r="E29" s="18"/>
      <c r="F29" s="18"/>
      <c r="G29" s="18"/>
      <c r="H29" s="18"/>
      <c r="I29" s="18"/>
      <c r="J29" s="18"/>
      <c r="K29" s="18"/>
      <c r="L29" s="18"/>
      <c r="M29" s="28"/>
    </row>
    <row r="30" spans="1:13" ht="12.3">
      <c r="A30" s="7">
        <v>29</v>
      </c>
      <c r="B30" s="15"/>
      <c r="C30" s="18"/>
      <c r="D30" s="18"/>
      <c r="E30" s="18"/>
      <c r="F30" s="18"/>
      <c r="G30" s="18"/>
      <c r="H30" s="18"/>
      <c r="I30" s="18"/>
      <c r="J30" s="18"/>
      <c r="K30" s="18"/>
      <c r="L30" s="18"/>
      <c r="M30" s="19"/>
    </row>
    <row r="31" spans="1:13" ht="12.3">
      <c r="A31" s="7">
        <v>30</v>
      </c>
      <c r="B31" s="15"/>
      <c r="C31" s="18"/>
      <c r="D31" s="18"/>
      <c r="E31" s="18"/>
      <c r="F31" s="18"/>
      <c r="G31" s="18"/>
      <c r="H31" s="18"/>
      <c r="I31" s="18"/>
      <c r="J31" s="18"/>
      <c r="K31" s="18"/>
      <c r="L31" s="18"/>
      <c r="M31" s="19"/>
    </row>
    <row r="32" spans="1:13" ht="12.3">
      <c r="A32" s="7">
        <v>31</v>
      </c>
      <c r="B32" s="15"/>
      <c r="C32" s="18"/>
      <c r="D32" s="18"/>
      <c r="E32" s="18"/>
      <c r="F32" s="18"/>
      <c r="G32" s="18"/>
      <c r="H32" s="18"/>
      <c r="I32" s="18"/>
      <c r="J32" s="18"/>
      <c r="K32" s="18"/>
      <c r="L32" s="18"/>
      <c r="M32" s="19"/>
    </row>
    <row r="33" spans="1:13" ht="12.3">
      <c r="A33" s="7">
        <v>32</v>
      </c>
      <c r="B33" s="15"/>
      <c r="C33" s="18"/>
      <c r="D33" s="18"/>
      <c r="E33" s="18"/>
      <c r="F33" s="18"/>
      <c r="G33" s="18"/>
      <c r="H33" s="18"/>
      <c r="I33" s="18"/>
      <c r="J33" s="18"/>
      <c r="K33" s="18"/>
      <c r="L33" s="18"/>
      <c r="M33" s="19"/>
    </row>
    <row r="34" spans="1:13" ht="12.3">
      <c r="A34" s="7">
        <v>33</v>
      </c>
      <c r="B34" s="15"/>
      <c r="C34" s="18"/>
      <c r="D34" s="18"/>
      <c r="E34" s="18"/>
      <c r="F34" s="18"/>
      <c r="G34" s="18"/>
      <c r="H34" s="18"/>
      <c r="I34" s="18"/>
      <c r="J34" s="18"/>
      <c r="K34" s="18"/>
      <c r="L34" s="18"/>
      <c r="M34" s="19"/>
    </row>
    <row r="35" spans="1:13" ht="12.3">
      <c r="A35" s="7">
        <v>34</v>
      </c>
      <c r="B35" s="15"/>
      <c r="C35" s="18"/>
      <c r="D35" s="18"/>
      <c r="E35" s="18"/>
      <c r="F35" s="18"/>
      <c r="G35" s="18"/>
      <c r="H35" s="18"/>
      <c r="I35" s="18"/>
      <c r="J35" s="18"/>
      <c r="K35" s="18"/>
      <c r="L35" s="18"/>
      <c r="M35" s="19"/>
    </row>
    <row r="36" spans="1:13" ht="12.3">
      <c r="A36" s="7">
        <v>35</v>
      </c>
      <c r="B36" s="15"/>
      <c r="C36" s="18"/>
      <c r="D36" s="18"/>
      <c r="E36" s="18"/>
      <c r="F36" s="18"/>
      <c r="G36" s="18"/>
      <c r="H36" s="18"/>
      <c r="I36" s="18"/>
      <c r="J36" s="18"/>
      <c r="K36" s="18"/>
      <c r="L36" s="18"/>
      <c r="M36" s="19"/>
    </row>
    <row r="37" spans="1:13" ht="12.3">
      <c r="A37" s="7">
        <v>36</v>
      </c>
      <c r="B37" s="15"/>
      <c r="C37" s="18"/>
      <c r="D37" s="18"/>
      <c r="E37" s="18"/>
      <c r="F37" s="18"/>
      <c r="G37" s="18"/>
      <c r="H37" s="18"/>
      <c r="I37" s="18"/>
      <c r="J37" s="18"/>
      <c r="K37" s="18"/>
      <c r="L37" s="18"/>
      <c r="M37" s="19"/>
    </row>
    <row r="38" spans="1:13" ht="12.3">
      <c r="A38" s="4"/>
      <c r="B38" s="6"/>
      <c r="C38" s="11"/>
      <c r="D38" s="11"/>
      <c r="E38" s="11"/>
      <c r="F38" s="11">
        <f t="shared" ref="F38:G38" si="0">SUM(F2:F37)</f>
        <v>78</v>
      </c>
      <c r="G38" s="11">
        <f t="shared" si="0"/>
        <v>84</v>
      </c>
      <c r="H38" s="30">
        <f>SUM(H1:H37)</f>
        <v>1655</v>
      </c>
      <c r="I38" s="11"/>
      <c r="J38" s="11"/>
      <c r="K38" s="11"/>
      <c r="L38" s="11"/>
      <c r="M38" s="4"/>
    </row>
    <row r="39" spans="1:13" ht="12.3">
      <c r="F39" s="1">
        <f>F38*12+G38</f>
        <v>1020</v>
      </c>
    </row>
    <row r="40" spans="1:13" ht="12.3">
      <c r="F40" s="1">
        <f>F39*1.67</f>
        <v>1703.3999999999999</v>
      </c>
    </row>
  </sheetData>
  <mergeCells count="1">
    <mergeCell ref="E8:E9"/>
  </mergeCells>
  <printOptions horizontalCentered="1" gridLines="1"/>
  <pageMargins left="0.7" right="0.7" top="0.75" bottom="0.75" header="0" footer="0"/>
  <pageSetup fitToHeight="0" pageOrder="overThenDown" orientation="landscape" cellComments="atEnd"/>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pageSetUpPr fitToPage="1"/>
  </sheetPr>
  <dimension ref="A1:M999"/>
  <sheetViews>
    <sheetView workbookViewId="0">
      <pane ySplit="1" topLeftCell="A14" activePane="bottomLeft" state="frozen"/>
      <selection pane="bottomLeft" activeCell="D31" sqref="D31"/>
    </sheetView>
  </sheetViews>
  <sheetFormatPr defaultColWidth="12.609375" defaultRowHeight="15" customHeight="1"/>
  <cols>
    <col min="1" max="1" width="3.38671875" customWidth="1"/>
    <col min="4" max="4" width="18.88671875" customWidth="1"/>
    <col min="13" max="13" width="50.71875" customWidth="1"/>
  </cols>
  <sheetData>
    <row r="1" spans="1:13" ht="15" customHeight="1">
      <c r="A1" s="4"/>
      <c r="B1" s="12" t="s">
        <v>29</v>
      </c>
      <c r="C1" s="8" t="s">
        <v>37</v>
      </c>
      <c r="D1" s="8" t="s">
        <v>36</v>
      </c>
      <c r="E1" s="13" t="s">
        <v>175</v>
      </c>
      <c r="F1" s="8" t="s">
        <v>176</v>
      </c>
      <c r="G1" s="13" t="s">
        <v>177</v>
      </c>
      <c r="H1" s="13" t="s">
        <v>178</v>
      </c>
      <c r="I1" s="13" t="s">
        <v>38</v>
      </c>
      <c r="J1" s="13" t="s">
        <v>32</v>
      </c>
      <c r="K1" s="13" t="s">
        <v>33</v>
      </c>
      <c r="L1" s="13" t="s">
        <v>34</v>
      </c>
      <c r="M1" s="14" t="s">
        <v>35</v>
      </c>
    </row>
    <row r="2" spans="1:13" ht="15" customHeight="1">
      <c r="A2" s="7">
        <v>1</v>
      </c>
      <c r="B2" s="15"/>
      <c r="C2" s="16"/>
      <c r="D2" s="18" t="str">
        <f>'112225'!D2</f>
        <v>RALPH BAKER 1</v>
      </c>
      <c r="E2" s="18"/>
      <c r="F2" s="24"/>
      <c r="G2" s="18"/>
      <c r="H2" s="18">
        <v>24</v>
      </c>
      <c r="I2" s="18"/>
      <c r="J2" s="18"/>
      <c r="K2" s="18"/>
      <c r="L2" s="18"/>
      <c r="M2" s="19" t="s">
        <v>39</v>
      </c>
    </row>
    <row r="3" spans="1:13" ht="15" customHeight="1">
      <c r="A3" s="20">
        <v>2</v>
      </c>
      <c r="B3" s="15"/>
      <c r="C3" s="21"/>
      <c r="D3" s="18" t="str">
        <f>'112225'!D3</f>
        <v>SALLY 1-12H</v>
      </c>
      <c r="E3" s="23"/>
      <c r="F3" s="24"/>
      <c r="G3" s="24"/>
      <c r="H3" s="24">
        <v>152</v>
      </c>
      <c r="I3" s="24"/>
      <c r="J3" s="24"/>
      <c r="K3" s="24"/>
      <c r="L3" s="24"/>
      <c r="M3" s="25" t="s">
        <v>39</v>
      </c>
    </row>
    <row r="4" spans="1:13" ht="15" customHeight="1">
      <c r="A4" s="20">
        <v>3</v>
      </c>
      <c r="B4" s="15"/>
      <c r="C4" s="21"/>
      <c r="D4" s="18" t="str">
        <f>'112225'!D4</f>
        <v>ANITA 1-13H</v>
      </c>
      <c r="E4" s="24"/>
      <c r="F4" s="24"/>
      <c r="G4" s="24"/>
      <c r="H4" s="24">
        <v>84</v>
      </c>
      <c r="I4" s="24"/>
      <c r="J4" s="24"/>
      <c r="K4" s="24"/>
      <c r="L4" s="24"/>
      <c r="M4" s="27" t="s">
        <v>93</v>
      </c>
    </row>
    <row r="5" spans="1:13" ht="15" customHeight="1">
      <c r="A5" s="7">
        <v>4</v>
      </c>
      <c r="B5" s="15"/>
      <c r="C5" s="16"/>
      <c r="D5" s="18" t="str">
        <f>'112225'!D5</f>
        <v>ARIANA 1-18H</v>
      </c>
      <c r="E5" s="18"/>
      <c r="F5" s="18"/>
      <c r="G5" s="18"/>
      <c r="H5" s="18">
        <v>122</v>
      </c>
      <c r="I5" s="18"/>
      <c r="J5" s="18"/>
      <c r="K5" s="18"/>
      <c r="L5" s="18"/>
      <c r="M5" s="19"/>
    </row>
    <row r="6" spans="1:13" ht="15" customHeight="1">
      <c r="A6" s="7">
        <v>5</v>
      </c>
      <c r="B6" s="15"/>
      <c r="C6" s="16"/>
      <c r="D6" s="18" t="str">
        <f>'112225'!D6</f>
        <v>CLAY 1-6H</v>
      </c>
      <c r="E6" s="18"/>
      <c r="F6" s="18"/>
      <c r="G6" s="18"/>
      <c r="H6" s="18">
        <v>228</v>
      </c>
      <c r="I6" s="18"/>
      <c r="J6" s="18"/>
      <c r="K6" s="18"/>
      <c r="L6" s="18"/>
      <c r="M6" s="28" t="s">
        <v>94</v>
      </c>
    </row>
    <row r="7" spans="1:13" ht="15" customHeight="1">
      <c r="A7" s="7">
        <v>6</v>
      </c>
      <c r="B7" s="15"/>
      <c r="C7" s="16"/>
      <c r="D7" s="18" t="str">
        <f>'112225'!D7</f>
        <v>ARIANA 1-7H</v>
      </c>
      <c r="E7" s="18"/>
      <c r="F7" s="18"/>
      <c r="G7" s="18"/>
      <c r="H7" s="18">
        <v>178</v>
      </c>
      <c r="I7" s="18"/>
      <c r="J7" s="18"/>
      <c r="K7" s="18"/>
      <c r="L7" s="18"/>
      <c r="M7" s="28" t="s">
        <v>95</v>
      </c>
    </row>
    <row r="8" spans="1:13" ht="15" customHeight="1">
      <c r="A8" s="7">
        <v>7</v>
      </c>
      <c r="B8" s="15"/>
      <c r="C8" s="16"/>
      <c r="D8" s="18" t="str">
        <f>'112225'!D8</f>
        <v>PEPPER 3-4H</v>
      </c>
      <c r="E8" s="49"/>
      <c r="F8" s="18"/>
      <c r="G8" s="18"/>
      <c r="H8" s="18">
        <v>50</v>
      </c>
      <c r="I8" s="18"/>
      <c r="J8" s="18"/>
      <c r="K8" s="18"/>
      <c r="L8" s="18"/>
      <c r="M8" s="28" t="s">
        <v>96</v>
      </c>
    </row>
    <row r="9" spans="1:13" ht="15" customHeight="1">
      <c r="A9" s="7">
        <v>8</v>
      </c>
      <c r="B9" s="15"/>
      <c r="C9" s="16"/>
      <c r="D9" s="18" t="str">
        <f>'112225'!D9</f>
        <v>PEPPER 4-4H</v>
      </c>
      <c r="E9" s="50"/>
      <c r="F9" s="18"/>
      <c r="G9" s="18"/>
      <c r="H9" s="18">
        <v>0</v>
      </c>
      <c r="I9" s="18"/>
      <c r="J9" s="18"/>
      <c r="K9" s="18"/>
      <c r="L9" s="18"/>
      <c r="M9" s="28" t="s">
        <v>97</v>
      </c>
    </row>
    <row r="10" spans="1:13" ht="15" customHeight="1">
      <c r="A10" s="20">
        <v>9</v>
      </c>
      <c r="B10" s="15"/>
      <c r="C10" s="21"/>
      <c r="D10" s="18" t="str">
        <f>'112225'!D10</f>
        <v>BIRD 3319 1-6</v>
      </c>
      <c r="E10" s="23"/>
      <c r="F10" s="24"/>
      <c r="G10" s="24"/>
      <c r="H10" s="24">
        <v>37</v>
      </c>
      <c r="I10" s="24"/>
      <c r="J10" s="24"/>
      <c r="K10" s="24"/>
      <c r="L10" s="24"/>
      <c r="M10" s="19" t="s">
        <v>39</v>
      </c>
    </row>
    <row r="11" spans="1:13" ht="15" customHeight="1">
      <c r="A11" s="7">
        <v>10</v>
      </c>
      <c r="B11" s="15"/>
      <c r="C11" s="16"/>
      <c r="D11" s="18" t="str">
        <f>'112225'!D11</f>
        <v>BIRD 3319 3-6</v>
      </c>
      <c r="E11" s="18"/>
      <c r="F11" s="18"/>
      <c r="G11" s="18"/>
      <c r="H11" s="18">
        <v>7</v>
      </c>
      <c r="I11" s="18"/>
      <c r="J11" s="18"/>
      <c r="K11" s="18"/>
      <c r="L11" s="18"/>
      <c r="M11" s="19" t="s">
        <v>71</v>
      </c>
    </row>
    <row r="12" spans="1:13" ht="15" customHeight="1">
      <c r="A12" s="7">
        <v>11</v>
      </c>
      <c r="B12" s="15"/>
      <c r="C12" s="16"/>
      <c r="D12" s="18" t="str">
        <f>'112225'!D12</f>
        <v>JELLISON A 11-5</v>
      </c>
      <c r="E12" s="18"/>
      <c r="F12" s="18"/>
      <c r="G12" s="18"/>
      <c r="H12" s="18">
        <v>0</v>
      </c>
      <c r="I12" s="18"/>
      <c r="J12" s="18"/>
      <c r="K12" s="18"/>
      <c r="L12" s="18"/>
      <c r="M12" s="28" t="s">
        <v>98</v>
      </c>
    </row>
    <row r="13" spans="1:13" ht="15" customHeight="1">
      <c r="A13" s="20">
        <v>12</v>
      </c>
      <c r="B13" s="15"/>
      <c r="C13" s="21"/>
      <c r="D13" s="18" t="str">
        <f>'112225'!D13</f>
        <v>ROCK 3319 1-16H</v>
      </c>
      <c r="E13" s="24"/>
      <c r="F13" s="24"/>
      <c r="G13" s="24"/>
      <c r="H13" s="24">
        <v>60</v>
      </c>
      <c r="I13" s="24"/>
      <c r="J13" s="24"/>
      <c r="K13" s="24"/>
      <c r="L13" s="24"/>
      <c r="M13" s="28" t="s">
        <v>99</v>
      </c>
    </row>
    <row r="14" spans="1:13" ht="15" customHeight="1">
      <c r="A14" s="7">
        <v>13</v>
      </c>
      <c r="B14" s="15"/>
      <c r="C14" s="16"/>
      <c r="D14" s="18" t="str">
        <f>'112225'!D14</f>
        <v>Dixie 3120 1‐25 SWD</v>
      </c>
      <c r="E14" s="18"/>
      <c r="F14" s="18"/>
      <c r="G14" s="18"/>
      <c r="H14" s="18"/>
      <c r="I14" s="18"/>
      <c r="J14" s="18"/>
      <c r="K14" s="18"/>
      <c r="L14" s="18"/>
      <c r="M14" s="19">
        <v>5625677.2000000002</v>
      </c>
    </row>
    <row r="15" spans="1:13" ht="15" customHeight="1">
      <c r="A15" s="7">
        <v>14</v>
      </c>
      <c r="B15" s="15"/>
      <c r="C15" s="16"/>
      <c r="D15" s="18" t="str">
        <f>'112225'!D15</f>
        <v>GARLAND 1-26H</v>
      </c>
      <c r="E15" s="18">
        <v>1</v>
      </c>
      <c r="F15" s="18">
        <v>3</v>
      </c>
      <c r="G15" s="18">
        <v>4</v>
      </c>
      <c r="H15" s="18">
        <v>87</v>
      </c>
      <c r="I15" s="18">
        <v>168</v>
      </c>
      <c r="J15" s="18">
        <v>150</v>
      </c>
      <c r="K15" s="18"/>
      <c r="L15" s="18">
        <v>85</v>
      </c>
      <c r="M15" s="28" t="s">
        <v>39</v>
      </c>
    </row>
    <row r="16" spans="1:13" ht="15" customHeight="1">
      <c r="A16" s="7">
        <v>15</v>
      </c>
      <c r="B16" s="15"/>
      <c r="C16" s="16"/>
      <c r="D16" s="18" t="str">
        <f>'112225'!D16</f>
        <v>PTL 1-15H</v>
      </c>
      <c r="E16" s="18"/>
      <c r="F16" s="18"/>
      <c r="G16" s="18"/>
      <c r="H16" s="18">
        <v>53</v>
      </c>
      <c r="I16" s="18">
        <v>65</v>
      </c>
      <c r="J16" s="18"/>
      <c r="K16" s="18"/>
      <c r="L16" s="18">
        <v>65</v>
      </c>
      <c r="M16" s="19"/>
    </row>
    <row r="17" spans="1:13" ht="15" customHeight="1">
      <c r="A17" s="7">
        <v>16</v>
      </c>
      <c r="B17" s="15"/>
      <c r="C17" s="16"/>
      <c r="D17" s="18" t="str">
        <f>'112225'!D17</f>
        <v>GABRIEL 2-12H</v>
      </c>
      <c r="E17" s="18"/>
      <c r="F17" s="18"/>
      <c r="G17" s="18"/>
      <c r="H17" s="18">
        <v>68</v>
      </c>
      <c r="I17" s="18">
        <v>147</v>
      </c>
      <c r="J17" s="18">
        <v>63</v>
      </c>
      <c r="K17" s="18"/>
      <c r="L17" s="18"/>
      <c r="M17" s="19"/>
    </row>
    <row r="18" spans="1:13" ht="15" customHeight="1">
      <c r="A18" s="7">
        <v>17</v>
      </c>
      <c r="B18" s="15"/>
      <c r="C18" s="16"/>
      <c r="D18" s="18" t="str">
        <f>'112225'!D18</f>
        <v>GABRIEL 1-12H</v>
      </c>
      <c r="E18" s="18"/>
      <c r="F18" s="18"/>
      <c r="G18" s="18"/>
      <c r="H18" s="18">
        <v>39</v>
      </c>
      <c r="I18" s="18">
        <v>0</v>
      </c>
      <c r="J18" s="18">
        <v>66</v>
      </c>
      <c r="K18" s="18"/>
      <c r="L18" s="18"/>
      <c r="M18" s="19" t="s">
        <v>39</v>
      </c>
    </row>
    <row r="19" spans="1:13" ht="15" customHeight="1">
      <c r="A19" s="7">
        <v>18</v>
      </c>
      <c r="B19" s="15"/>
      <c r="C19" s="16"/>
      <c r="D19" s="18" t="str">
        <f>'112225'!D19</f>
        <v>SEAN 1-18H</v>
      </c>
      <c r="E19" s="18"/>
      <c r="F19" s="18"/>
      <c r="G19" s="18"/>
      <c r="H19" s="18">
        <v>56</v>
      </c>
      <c r="I19" s="18">
        <v>67</v>
      </c>
      <c r="J19" s="18">
        <v>61</v>
      </c>
      <c r="K19" s="18"/>
      <c r="L19" s="18"/>
      <c r="M19" s="19" t="s">
        <v>39</v>
      </c>
    </row>
    <row r="20" spans="1:13" ht="15" customHeight="1">
      <c r="A20" s="7">
        <v>19</v>
      </c>
      <c r="B20" s="15"/>
      <c r="C20" s="16"/>
      <c r="D20" s="18" t="str">
        <f>'112225'!D20</f>
        <v>SEAN 3119 3-18H</v>
      </c>
      <c r="E20" s="18"/>
      <c r="F20" s="18"/>
      <c r="G20" s="18"/>
      <c r="H20" s="18">
        <v>21</v>
      </c>
      <c r="I20" s="18">
        <v>0</v>
      </c>
      <c r="J20" s="18">
        <v>67</v>
      </c>
      <c r="K20" s="18"/>
      <c r="L20" s="18"/>
      <c r="M20" s="28" t="s">
        <v>100</v>
      </c>
    </row>
    <row r="21" spans="1:13" ht="15" customHeight="1">
      <c r="A21" s="7">
        <v>20</v>
      </c>
      <c r="B21" s="15"/>
      <c r="C21" s="16"/>
      <c r="D21" s="18" t="str">
        <f>'112225'!D21</f>
        <v>ELLIS 2-19H</v>
      </c>
      <c r="E21" s="18"/>
      <c r="F21" s="18"/>
      <c r="G21" s="18"/>
      <c r="H21" s="18">
        <v>70</v>
      </c>
      <c r="I21" s="18">
        <v>0</v>
      </c>
      <c r="J21" s="18">
        <v>67</v>
      </c>
      <c r="K21" s="18"/>
      <c r="L21" s="18"/>
      <c r="M21" s="19" t="s">
        <v>39</v>
      </c>
    </row>
    <row r="22" spans="1:13" ht="15" customHeight="1">
      <c r="A22" s="7">
        <v>21</v>
      </c>
      <c r="B22" s="15"/>
      <c r="C22" s="16"/>
      <c r="D22" s="18" t="str">
        <f>'112225'!D22</f>
        <v>BROTHERS 1-6H</v>
      </c>
      <c r="E22" s="18"/>
      <c r="F22" s="18"/>
      <c r="G22" s="18"/>
      <c r="H22" s="18">
        <v>81</v>
      </c>
      <c r="I22" s="18">
        <v>147</v>
      </c>
      <c r="J22" s="18">
        <v>91.2</v>
      </c>
      <c r="K22" s="18"/>
      <c r="L22" s="18"/>
      <c r="M22" s="28" t="s">
        <v>39</v>
      </c>
    </row>
    <row r="23" spans="1:13" ht="15" customHeight="1">
      <c r="A23" s="7">
        <v>22</v>
      </c>
      <c r="B23" s="15"/>
      <c r="C23" s="16"/>
      <c r="D23" s="18" t="str">
        <f>'112225'!D23</f>
        <v>BROTHERS 2-6H</v>
      </c>
      <c r="E23" s="18"/>
      <c r="F23" s="18"/>
      <c r="G23" s="18"/>
      <c r="H23" s="18">
        <v>98</v>
      </c>
      <c r="I23" s="18">
        <v>118</v>
      </c>
      <c r="J23" s="18">
        <v>91.2</v>
      </c>
      <c r="K23" s="18"/>
      <c r="L23" s="18"/>
      <c r="M23" s="19" t="s">
        <v>39</v>
      </c>
    </row>
    <row r="24" spans="1:13" ht="15" customHeight="1">
      <c r="A24" s="20">
        <v>23</v>
      </c>
      <c r="B24" s="15"/>
      <c r="C24" s="21"/>
      <c r="D24" s="18" t="str">
        <f>'112225'!D24</f>
        <v>SARAH 1-34H</v>
      </c>
      <c r="E24" s="23"/>
      <c r="F24" s="24"/>
      <c r="G24" s="24"/>
      <c r="H24" s="24">
        <v>11.8</v>
      </c>
      <c r="I24" s="24">
        <v>0</v>
      </c>
      <c r="J24" s="24"/>
      <c r="K24" s="24"/>
      <c r="L24" s="24">
        <v>49.2</v>
      </c>
      <c r="M24" s="27" t="s">
        <v>101</v>
      </c>
    </row>
    <row r="25" spans="1:13" ht="15" customHeight="1">
      <c r="A25" s="20">
        <v>24</v>
      </c>
      <c r="B25" s="15"/>
      <c r="C25" s="21"/>
      <c r="D25" s="18" t="str">
        <f>'112225'!D25</f>
        <v>SARAH 2-34H</v>
      </c>
      <c r="E25" s="23"/>
      <c r="F25" s="24"/>
      <c r="G25" s="24"/>
      <c r="H25" s="24">
        <v>40.4</v>
      </c>
      <c r="I25" s="24">
        <v>0</v>
      </c>
      <c r="J25" s="24"/>
      <c r="K25" s="24"/>
      <c r="L25" s="24">
        <v>50</v>
      </c>
      <c r="M25" s="27" t="s">
        <v>102</v>
      </c>
    </row>
    <row r="26" spans="1:13" ht="15" customHeight="1">
      <c r="A26" s="7">
        <v>25</v>
      </c>
      <c r="B26" s="15"/>
      <c r="C26" s="16"/>
      <c r="D26" s="18" t="str">
        <f>'112225'!D26</f>
        <v>WANDA 1-2H 1L</v>
      </c>
      <c r="E26" s="5"/>
      <c r="F26" s="18"/>
      <c r="G26" s="18"/>
      <c r="H26" s="18">
        <v>243</v>
      </c>
      <c r="I26" s="18">
        <v>60</v>
      </c>
      <c r="J26" s="18"/>
      <c r="K26" s="18"/>
      <c r="L26" s="18">
        <v>49.2</v>
      </c>
      <c r="M26" s="28" t="s">
        <v>103</v>
      </c>
    </row>
    <row r="27" spans="1:13" ht="15" customHeight="1">
      <c r="A27" s="7">
        <v>26</v>
      </c>
      <c r="B27" s="15"/>
      <c r="C27" s="35"/>
      <c r="D27" s="18" t="str">
        <f>'112225'!D27</f>
        <v>Yankee 3317 1-27 SWD</v>
      </c>
      <c r="E27" s="18"/>
      <c r="F27" s="18"/>
      <c r="G27" s="18"/>
      <c r="H27" s="36"/>
      <c r="I27" s="36"/>
      <c r="J27" s="36"/>
      <c r="K27" s="36"/>
      <c r="L27" s="36"/>
      <c r="M27" s="19">
        <v>7761546.4000000004</v>
      </c>
    </row>
    <row r="28" spans="1:13" ht="15" customHeight="1">
      <c r="A28" s="7">
        <v>27</v>
      </c>
      <c r="B28" s="15"/>
      <c r="C28" s="18"/>
      <c r="D28" s="18" t="s">
        <v>179</v>
      </c>
      <c r="E28" s="18"/>
      <c r="F28" s="18"/>
      <c r="G28" s="18"/>
      <c r="H28" s="18">
        <v>0</v>
      </c>
      <c r="I28" s="18">
        <v>0</v>
      </c>
      <c r="J28" s="18"/>
      <c r="K28" s="18"/>
      <c r="L28" s="18"/>
      <c r="M28" s="28" t="s">
        <v>104</v>
      </c>
    </row>
    <row r="29" spans="1:13" ht="12.3">
      <c r="A29" s="7">
        <v>28</v>
      </c>
      <c r="B29" s="15"/>
      <c r="C29" s="18"/>
      <c r="D29" s="18" t="s">
        <v>77</v>
      </c>
      <c r="E29" s="18"/>
      <c r="F29" s="18"/>
      <c r="G29" s="18"/>
      <c r="H29" s="18"/>
      <c r="I29" s="18"/>
      <c r="J29" s="18"/>
      <c r="K29" s="18"/>
      <c r="L29" s="18"/>
      <c r="M29" s="28"/>
    </row>
    <row r="30" spans="1:13" ht="24.6">
      <c r="A30" s="7">
        <v>29</v>
      </c>
      <c r="B30" s="15"/>
      <c r="C30" s="18"/>
      <c r="D30" s="37" t="s">
        <v>1</v>
      </c>
      <c r="E30" s="18"/>
      <c r="F30" s="18"/>
      <c r="G30" s="18"/>
      <c r="H30" s="18">
        <v>0</v>
      </c>
      <c r="I30" s="18"/>
      <c r="J30" s="18"/>
      <c r="K30" s="18"/>
      <c r="L30" s="18"/>
      <c r="M30" s="28" t="s">
        <v>105</v>
      </c>
    </row>
    <row r="31" spans="1:13" ht="12.3">
      <c r="A31" s="7">
        <v>30</v>
      </c>
      <c r="B31" s="15"/>
      <c r="C31" s="18"/>
      <c r="D31" t="s">
        <v>180</v>
      </c>
      <c r="E31" s="18"/>
      <c r="F31" s="18"/>
      <c r="G31" s="18"/>
      <c r="H31" s="18"/>
      <c r="I31" s="18"/>
      <c r="J31" s="18"/>
      <c r="K31" s="18"/>
      <c r="L31" s="18"/>
      <c r="M31" s="19"/>
    </row>
    <row r="32" spans="1:13" ht="12.3">
      <c r="A32" s="7">
        <v>31</v>
      </c>
      <c r="B32" s="15"/>
      <c r="C32" s="18"/>
      <c r="D32" s="18"/>
      <c r="E32" s="18"/>
      <c r="F32" s="18"/>
      <c r="G32" s="18"/>
      <c r="H32" s="18"/>
      <c r="I32" s="18"/>
      <c r="J32" s="18"/>
      <c r="K32" s="18"/>
      <c r="L32" s="18"/>
      <c r="M32" s="19"/>
    </row>
    <row r="33" spans="1:13" ht="12.3">
      <c r="A33" s="7">
        <v>32</v>
      </c>
      <c r="B33" s="15"/>
      <c r="C33" s="18"/>
      <c r="D33" s="18"/>
      <c r="E33" s="18"/>
      <c r="F33" s="18"/>
      <c r="G33" s="18"/>
      <c r="H33" s="18"/>
      <c r="I33" s="18"/>
      <c r="J33" s="18"/>
      <c r="K33" s="18"/>
      <c r="L33" s="18"/>
      <c r="M33" s="19"/>
    </row>
    <row r="34" spans="1:13" ht="12.3">
      <c r="A34" s="7">
        <v>33</v>
      </c>
      <c r="B34" s="15"/>
      <c r="C34" s="18"/>
      <c r="D34" s="18"/>
      <c r="E34" s="18"/>
      <c r="F34" s="18"/>
      <c r="G34" s="18"/>
      <c r="H34" s="18"/>
      <c r="I34" s="18"/>
      <c r="J34" s="18"/>
      <c r="K34" s="18"/>
      <c r="L34" s="18"/>
      <c r="M34" s="19"/>
    </row>
    <row r="35" spans="1:13" ht="12.3">
      <c r="A35" s="7">
        <v>34</v>
      </c>
      <c r="B35" s="15"/>
      <c r="C35" s="18"/>
      <c r="D35" s="18"/>
      <c r="E35" s="18"/>
      <c r="F35" s="18"/>
      <c r="G35" s="18"/>
      <c r="H35" s="18"/>
      <c r="I35" s="18"/>
      <c r="J35" s="18"/>
      <c r="K35" s="18"/>
      <c r="L35" s="18"/>
      <c r="M35" s="19"/>
    </row>
    <row r="36" spans="1:13" ht="12.3">
      <c r="A36" s="7">
        <v>35</v>
      </c>
      <c r="B36" s="15"/>
      <c r="C36" s="18"/>
      <c r="D36" s="18"/>
      <c r="E36" s="18"/>
      <c r="F36" s="18"/>
      <c r="G36" s="18"/>
      <c r="H36" s="18"/>
      <c r="I36" s="18"/>
      <c r="J36" s="18"/>
      <c r="K36" s="18"/>
      <c r="L36" s="18"/>
      <c r="M36" s="19"/>
    </row>
    <row r="37" spans="1:13" ht="12.3">
      <c r="A37" s="7">
        <v>36</v>
      </c>
      <c r="B37" s="15"/>
      <c r="C37" s="18"/>
      <c r="D37" s="18"/>
      <c r="E37" s="18"/>
      <c r="F37" s="18"/>
      <c r="G37" s="18"/>
      <c r="H37" s="18"/>
      <c r="I37" s="18"/>
      <c r="J37" s="18"/>
      <c r="K37" s="18"/>
      <c r="L37" s="18"/>
      <c r="M37" s="19"/>
    </row>
    <row r="38" spans="1:13" ht="12.3">
      <c r="A38" s="4"/>
      <c r="B38" s="6"/>
      <c r="C38" s="11"/>
      <c r="D38" s="11"/>
      <c r="E38" s="11"/>
      <c r="F38" s="11"/>
      <c r="G38" s="30"/>
      <c r="H38" s="30">
        <f>SUM(H1:H37)</f>
        <v>1810.2</v>
      </c>
      <c r="I38" s="11"/>
      <c r="J38" s="11"/>
      <c r="K38" s="11"/>
      <c r="L38" s="11"/>
      <c r="M38" s="4"/>
    </row>
    <row r="39" spans="1:13" ht="12.3">
      <c r="D39" s="38"/>
    </row>
    <row r="40" spans="1:13" ht="12.3">
      <c r="D40" s="38"/>
    </row>
    <row r="41" spans="1:13" ht="12.3">
      <c r="D41" s="38"/>
    </row>
    <row r="42" spans="1:13" ht="12.3">
      <c r="D42" s="38"/>
    </row>
    <row r="43" spans="1:13" ht="12.3">
      <c r="D43" s="38"/>
    </row>
    <row r="44" spans="1:13" ht="12.3">
      <c r="D44" s="38"/>
    </row>
    <row r="45" spans="1:13" ht="12.3">
      <c r="D45" s="38"/>
    </row>
    <row r="46" spans="1:13" ht="12.3">
      <c r="D46" s="38"/>
    </row>
    <row r="47" spans="1:13" ht="12.3">
      <c r="D47" s="38"/>
    </row>
    <row r="48" spans="1:13" ht="12.3">
      <c r="D48" s="38"/>
    </row>
    <row r="49" spans="4:4" ht="12.3">
      <c r="D49" s="38"/>
    </row>
    <row r="50" spans="4:4" ht="12.3">
      <c r="D50" s="38"/>
    </row>
    <row r="51" spans="4:4" ht="12.3">
      <c r="D51" s="38"/>
    </row>
    <row r="52" spans="4:4" ht="12.3">
      <c r="D52" s="38"/>
    </row>
    <row r="53" spans="4:4" ht="12.3">
      <c r="D53" s="38"/>
    </row>
    <row r="54" spans="4:4" ht="12.3">
      <c r="D54" s="38"/>
    </row>
    <row r="55" spans="4:4" ht="12.3">
      <c r="D55" s="38"/>
    </row>
    <row r="56" spans="4:4" ht="12.3">
      <c r="D56" s="38"/>
    </row>
    <row r="57" spans="4:4" ht="12.3">
      <c r="D57" s="38"/>
    </row>
    <row r="58" spans="4:4" ht="12.3">
      <c r="D58" s="38"/>
    </row>
    <row r="59" spans="4:4" ht="12.3">
      <c r="D59" s="38"/>
    </row>
    <row r="60" spans="4:4" ht="12.3">
      <c r="D60" s="38"/>
    </row>
    <row r="61" spans="4:4" ht="12.3">
      <c r="D61" s="38"/>
    </row>
    <row r="62" spans="4:4" ht="12.3">
      <c r="D62" s="38"/>
    </row>
    <row r="63" spans="4:4" ht="12.3">
      <c r="D63" s="38"/>
    </row>
    <row r="64" spans="4:4" ht="12.3">
      <c r="D64" s="38"/>
    </row>
    <row r="65" spans="4:4" ht="12.3">
      <c r="D65" s="38"/>
    </row>
    <row r="66" spans="4:4" ht="12.3">
      <c r="D66" s="38"/>
    </row>
    <row r="67" spans="4:4" ht="12.3">
      <c r="D67" s="38"/>
    </row>
    <row r="68" spans="4:4" ht="12.3">
      <c r="D68" s="38"/>
    </row>
    <row r="69" spans="4:4" ht="12.3">
      <c r="D69" s="38"/>
    </row>
    <row r="70" spans="4:4" ht="12.3">
      <c r="D70" s="38"/>
    </row>
    <row r="71" spans="4:4" ht="12.3">
      <c r="D71" s="38"/>
    </row>
    <row r="72" spans="4:4" ht="12.3">
      <c r="D72" s="38"/>
    </row>
    <row r="73" spans="4:4" ht="12.3">
      <c r="D73" s="38"/>
    </row>
    <row r="74" spans="4:4" ht="12.3">
      <c r="D74" s="38"/>
    </row>
    <row r="75" spans="4:4" ht="12.3">
      <c r="D75" s="38"/>
    </row>
    <row r="76" spans="4:4" ht="12.3">
      <c r="D76" s="38"/>
    </row>
    <row r="77" spans="4:4" ht="12.3">
      <c r="D77" s="38"/>
    </row>
    <row r="78" spans="4:4" ht="12.3">
      <c r="D78" s="38"/>
    </row>
    <row r="79" spans="4:4" ht="12.3">
      <c r="D79" s="38"/>
    </row>
    <row r="80" spans="4:4" ht="12.3">
      <c r="D80" s="38"/>
    </row>
    <row r="81" spans="4:4" ht="12.3">
      <c r="D81" s="38"/>
    </row>
    <row r="82" spans="4:4" ht="12.3">
      <c r="D82" s="38"/>
    </row>
    <row r="83" spans="4:4" ht="12.3">
      <c r="D83" s="38"/>
    </row>
    <row r="84" spans="4:4" ht="12.3">
      <c r="D84" s="38"/>
    </row>
    <row r="85" spans="4:4" ht="12.3">
      <c r="D85" s="38"/>
    </row>
    <row r="86" spans="4:4" ht="12.3">
      <c r="D86" s="38"/>
    </row>
    <row r="87" spans="4:4" ht="12.3">
      <c r="D87" s="38"/>
    </row>
    <row r="88" spans="4:4" ht="12.3">
      <c r="D88" s="38"/>
    </row>
    <row r="89" spans="4:4" ht="12.3">
      <c r="D89" s="38"/>
    </row>
    <row r="90" spans="4:4" ht="12.3">
      <c r="D90" s="38"/>
    </row>
    <row r="91" spans="4:4" ht="12.3">
      <c r="D91" s="38"/>
    </row>
    <row r="92" spans="4:4" ht="12.3">
      <c r="D92" s="38"/>
    </row>
    <row r="93" spans="4:4" ht="12.3">
      <c r="D93" s="38"/>
    </row>
    <row r="94" spans="4:4" ht="12.3">
      <c r="D94" s="38"/>
    </row>
    <row r="95" spans="4:4" ht="12.3">
      <c r="D95" s="38"/>
    </row>
    <row r="96" spans="4:4" ht="12.3">
      <c r="D96" s="38"/>
    </row>
    <row r="97" spans="4:4" ht="12.3">
      <c r="D97" s="38"/>
    </row>
    <row r="98" spans="4:4" ht="12.3">
      <c r="D98" s="38"/>
    </row>
    <row r="99" spans="4:4" ht="12.3">
      <c r="D99" s="38"/>
    </row>
    <row r="100" spans="4:4" ht="12.3">
      <c r="D100" s="38"/>
    </row>
    <row r="101" spans="4:4" ht="12.3">
      <c r="D101" s="38"/>
    </row>
    <row r="102" spans="4:4" ht="12.3">
      <c r="D102" s="38"/>
    </row>
    <row r="103" spans="4:4" ht="12.3">
      <c r="D103" s="38"/>
    </row>
    <row r="104" spans="4:4" ht="12.3">
      <c r="D104" s="38"/>
    </row>
    <row r="105" spans="4:4" ht="12.3">
      <c r="D105" s="38"/>
    </row>
    <row r="106" spans="4:4" ht="12.3">
      <c r="D106" s="38"/>
    </row>
    <row r="107" spans="4:4" ht="12.3">
      <c r="D107" s="38"/>
    </row>
    <row r="108" spans="4:4" ht="12.3">
      <c r="D108" s="38"/>
    </row>
    <row r="109" spans="4:4" ht="12.3">
      <c r="D109" s="38"/>
    </row>
    <row r="110" spans="4:4" ht="12.3">
      <c r="D110" s="38"/>
    </row>
    <row r="111" spans="4:4" ht="12.3">
      <c r="D111" s="38"/>
    </row>
    <row r="112" spans="4:4" ht="12.3">
      <c r="D112" s="38"/>
    </row>
    <row r="113" spans="4:4" ht="12.3">
      <c r="D113" s="38"/>
    </row>
    <row r="114" spans="4:4" ht="12.3">
      <c r="D114" s="38"/>
    </row>
    <row r="115" spans="4:4" ht="12.3">
      <c r="D115" s="38"/>
    </row>
    <row r="116" spans="4:4" ht="12.3">
      <c r="D116" s="38"/>
    </row>
    <row r="117" spans="4:4" ht="12.3">
      <c r="D117" s="38"/>
    </row>
    <row r="118" spans="4:4" ht="12.3">
      <c r="D118" s="38"/>
    </row>
    <row r="119" spans="4:4" ht="12.3">
      <c r="D119" s="38"/>
    </row>
    <row r="120" spans="4:4" ht="12.3">
      <c r="D120" s="38"/>
    </row>
    <row r="121" spans="4:4" ht="12.3">
      <c r="D121" s="38"/>
    </row>
    <row r="122" spans="4:4" ht="12.3">
      <c r="D122" s="38"/>
    </row>
    <row r="123" spans="4:4" ht="12.3">
      <c r="D123" s="38"/>
    </row>
    <row r="124" spans="4:4" ht="12.3">
      <c r="D124" s="38"/>
    </row>
    <row r="125" spans="4:4" ht="12.3">
      <c r="D125" s="38"/>
    </row>
    <row r="126" spans="4:4" ht="12.3">
      <c r="D126" s="38"/>
    </row>
    <row r="127" spans="4:4" ht="12.3">
      <c r="D127" s="38"/>
    </row>
    <row r="128" spans="4:4" ht="12.3">
      <c r="D128" s="38"/>
    </row>
    <row r="129" spans="4:4" ht="12.3">
      <c r="D129" s="38"/>
    </row>
    <row r="130" spans="4:4" ht="12.3">
      <c r="D130" s="38"/>
    </row>
    <row r="131" spans="4:4" ht="12.3">
      <c r="D131" s="38"/>
    </row>
    <row r="132" spans="4:4" ht="12.3">
      <c r="D132" s="38"/>
    </row>
    <row r="133" spans="4:4" ht="12.3">
      <c r="D133" s="38"/>
    </row>
    <row r="134" spans="4:4" ht="12.3">
      <c r="D134" s="38"/>
    </row>
    <row r="135" spans="4:4" ht="12.3">
      <c r="D135" s="38"/>
    </row>
    <row r="136" spans="4:4" ht="12.3">
      <c r="D136" s="38"/>
    </row>
    <row r="137" spans="4:4" ht="12.3">
      <c r="D137" s="38"/>
    </row>
    <row r="138" spans="4:4" ht="12.3">
      <c r="D138" s="38"/>
    </row>
    <row r="139" spans="4:4" ht="12.3">
      <c r="D139" s="38"/>
    </row>
    <row r="140" spans="4:4" ht="12.3">
      <c r="D140" s="38"/>
    </row>
    <row r="141" spans="4:4" ht="12.3">
      <c r="D141" s="38"/>
    </row>
    <row r="142" spans="4:4" ht="12.3">
      <c r="D142" s="38"/>
    </row>
    <row r="143" spans="4:4" ht="12.3">
      <c r="D143" s="38"/>
    </row>
    <row r="144" spans="4:4" ht="12.3">
      <c r="D144" s="38"/>
    </row>
    <row r="145" spans="4:4" ht="12.3">
      <c r="D145" s="38"/>
    </row>
    <row r="146" spans="4:4" ht="12.3">
      <c r="D146" s="38"/>
    </row>
    <row r="147" spans="4:4" ht="12.3">
      <c r="D147" s="38"/>
    </row>
    <row r="148" spans="4:4" ht="12.3">
      <c r="D148" s="38"/>
    </row>
    <row r="149" spans="4:4" ht="12.3">
      <c r="D149" s="38"/>
    </row>
    <row r="150" spans="4:4" ht="12.3">
      <c r="D150" s="38"/>
    </row>
    <row r="151" spans="4:4" ht="12.3">
      <c r="D151" s="38"/>
    </row>
    <row r="152" spans="4:4" ht="12.3">
      <c r="D152" s="38"/>
    </row>
    <row r="153" spans="4:4" ht="12.3">
      <c r="D153" s="38"/>
    </row>
    <row r="154" spans="4:4" ht="12.3">
      <c r="D154" s="38"/>
    </row>
    <row r="155" spans="4:4" ht="12.3">
      <c r="D155" s="38"/>
    </row>
    <row r="156" spans="4:4" ht="12.3">
      <c r="D156" s="38"/>
    </row>
    <row r="157" spans="4:4" ht="12.3">
      <c r="D157" s="38"/>
    </row>
    <row r="158" spans="4:4" ht="12.3">
      <c r="D158" s="38"/>
    </row>
    <row r="159" spans="4:4" ht="12.3">
      <c r="D159" s="38"/>
    </row>
    <row r="160" spans="4:4" ht="12.3">
      <c r="D160" s="38"/>
    </row>
    <row r="161" spans="4:4" ht="12.3">
      <c r="D161" s="38"/>
    </row>
    <row r="162" spans="4:4" ht="12.3">
      <c r="D162" s="38"/>
    </row>
    <row r="163" spans="4:4" ht="12.3">
      <c r="D163" s="38"/>
    </row>
    <row r="164" spans="4:4" ht="12.3">
      <c r="D164" s="38"/>
    </row>
    <row r="165" spans="4:4" ht="12.3">
      <c r="D165" s="38"/>
    </row>
    <row r="166" spans="4:4" ht="12.3">
      <c r="D166" s="38"/>
    </row>
    <row r="167" spans="4:4" ht="12.3">
      <c r="D167" s="38"/>
    </row>
    <row r="168" spans="4:4" ht="12.3">
      <c r="D168" s="38"/>
    </row>
    <row r="169" spans="4:4" ht="12.3">
      <c r="D169" s="38"/>
    </row>
    <row r="170" spans="4:4" ht="12.3">
      <c r="D170" s="38"/>
    </row>
    <row r="171" spans="4:4" ht="12.3">
      <c r="D171" s="38"/>
    </row>
    <row r="172" spans="4:4" ht="12.3">
      <c r="D172" s="38"/>
    </row>
    <row r="173" spans="4:4" ht="12.3">
      <c r="D173" s="38"/>
    </row>
    <row r="174" spans="4:4" ht="12.3">
      <c r="D174" s="38"/>
    </row>
    <row r="175" spans="4:4" ht="12.3">
      <c r="D175" s="38"/>
    </row>
    <row r="176" spans="4:4" ht="12.3">
      <c r="D176" s="38"/>
    </row>
    <row r="177" spans="4:4" ht="12.3">
      <c r="D177" s="38"/>
    </row>
    <row r="178" spans="4:4" ht="12.3">
      <c r="D178" s="38"/>
    </row>
    <row r="179" spans="4:4" ht="12.3">
      <c r="D179" s="38"/>
    </row>
    <row r="180" spans="4:4" ht="12.3">
      <c r="D180" s="38"/>
    </row>
    <row r="181" spans="4:4" ht="12.3">
      <c r="D181" s="38"/>
    </row>
    <row r="182" spans="4:4" ht="12.3">
      <c r="D182" s="38"/>
    </row>
    <row r="183" spans="4:4" ht="12.3">
      <c r="D183" s="38"/>
    </row>
    <row r="184" spans="4:4" ht="12.3">
      <c r="D184" s="38"/>
    </row>
    <row r="185" spans="4:4" ht="12.3">
      <c r="D185" s="38"/>
    </row>
    <row r="186" spans="4:4" ht="12.3">
      <c r="D186" s="38"/>
    </row>
    <row r="187" spans="4:4" ht="12.3">
      <c r="D187" s="38"/>
    </row>
    <row r="188" spans="4:4" ht="12.3">
      <c r="D188" s="38"/>
    </row>
    <row r="189" spans="4:4" ht="12.3">
      <c r="D189" s="38"/>
    </row>
    <row r="190" spans="4:4" ht="12.3">
      <c r="D190" s="38"/>
    </row>
    <row r="191" spans="4:4" ht="12.3">
      <c r="D191" s="38"/>
    </row>
    <row r="192" spans="4:4" ht="12.3">
      <c r="D192" s="38"/>
    </row>
    <row r="193" spans="4:4" ht="12.3">
      <c r="D193" s="38"/>
    </row>
    <row r="194" spans="4:4" ht="12.3">
      <c r="D194" s="38"/>
    </row>
    <row r="195" spans="4:4" ht="12.3">
      <c r="D195" s="38"/>
    </row>
    <row r="196" spans="4:4" ht="12.3">
      <c r="D196" s="38"/>
    </row>
    <row r="197" spans="4:4" ht="12.3">
      <c r="D197" s="38"/>
    </row>
    <row r="198" spans="4:4" ht="12.3">
      <c r="D198" s="38"/>
    </row>
    <row r="199" spans="4:4" ht="12.3">
      <c r="D199" s="38"/>
    </row>
    <row r="200" spans="4:4" ht="12.3">
      <c r="D200" s="38"/>
    </row>
    <row r="201" spans="4:4" ht="12.3">
      <c r="D201" s="38"/>
    </row>
    <row r="202" spans="4:4" ht="12.3">
      <c r="D202" s="38"/>
    </row>
    <row r="203" spans="4:4" ht="12.3">
      <c r="D203" s="38"/>
    </row>
    <row r="204" spans="4:4" ht="12.3">
      <c r="D204" s="38"/>
    </row>
    <row r="205" spans="4:4" ht="12.3">
      <c r="D205" s="38"/>
    </row>
    <row r="206" spans="4:4" ht="12.3">
      <c r="D206" s="38"/>
    </row>
    <row r="207" spans="4:4" ht="12.3">
      <c r="D207" s="38"/>
    </row>
    <row r="208" spans="4:4" ht="12.3">
      <c r="D208" s="38"/>
    </row>
    <row r="209" spans="4:4" ht="12.3">
      <c r="D209" s="38"/>
    </row>
    <row r="210" spans="4:4" ht="12.3">
      <c r="D210" s="38"/>
    </row>
    <row r="211" spans="4:4" ht="12.3">
      <c r="D211" s="38"/>
    </row>
    <row r="212" spans="4:4" ht="12.3">
      <c r="D212" s="38"/>
    </row>
    <row r="213" spans="4:4" ht="12.3">
      <c r="D213" s="38"/>
    </row>
    <row r="214" spans="4:4" ht="12.3">
      <c r="D214" s="38"/>
    </row>
    <row r="215" spans="4:4" ht="12.3">
      <c r="D215" s="38"/>
    </row>
    <row r="216" spans="4:4" ht="12.3">
      <c r="D216" s="38"/>
    </row>
    <row r="217" spans="4:4" ht="12.3">
      <c r="D217" s="38"/>
    </row>
    <row r="218" spans="4:4" ht="12.3">
      <c r="D218" s="38"/>
    </row>
    <row r="219" spans="4:4" ht="12.3">
      <c r="D219" s="38"/>
    </row>
    <row r="220" spans="4:4" ht="12.3">
      <c r="D220" s="38"/>
    </row>
    <row r="221" spans="4:4" ht="12.3">
      <c r="D221" s="38"/>
    </row>
    <row r="222" spans="4:4" ht="12.3">
      <c r="D222" s="38"/>
    </row>
    <row r="223" spans="4:4" ht="12.3">
      <c r="D223" s="38"/>
    </row>
    <row r="224" spans="4:4" ht="12.3">
      <c r="D224" s="38"/>
    </row>
    <row r="225" spans="4:4" ht="12.3">
      <c r="D225" s="38"/>
    </row>
    <row r="226" spans="4:4" ht="12.3">
      <c r="D226" s="38"/>
    </row>
    <row r="227" spans="4:4" ht="12.3">
      <c r="D227" s="38"/>
    </row>
    <row r="228" spans="4:4" ht="12.3">
      <c r="D228" s="38"/>
    </row>
    <row r="229" spans="4:4" ht="12.3">
      <c r="D229" s="38"/>
    </row>
    <row r="230" spans="4:4" ht="12.3">
      <c r="D230" s="38"/>
    </row>
    <row r="231" spans="4:4" ht="12.3">
      <c r="D231" s="38"/>
    </row>
    <row r="232" spans="4:4" ht="12.3">
      <c r="D232" s="38"/>
    </row>
    <row r="233" spans="4:4" ht="12.3">
      <c r="D233" s="38"/>
    </row>
    <row r="234" spans="4:4" ht="12.3">
      <c r="D234" s="38"/>
    </row>
    <row r="235" spans="4:4" ht="12.3">
      <c r="D235" s="38"/>
    </row>
    <row r="236" spans="4:4" ht="12.3">
      <c r="D236" s="38"/>
    </row>
    <row r="237" spans="4:4" ht="12.3">
      <c r="D237" s="38"/>
    </row>
    <row r="238" spans="4:4" ht="12.3">
      <c r="D238" s="38"/>
    </row>
    <row r="239" spans="4:4" ht="12.3">
      <c r="D239" s="38"/>
    </row>
    <row r="240" spans="4:4" ht="12.3">
      <c r="D240" s="38"/>
    </row>
    <row r="241" spans="4:4" ht="12.3">
      <c r="D241" s="38"/>
    </row>
    <row r="242" spans="4:4" ht="12.3">
      <c r="D242" s="38"/>
    </row>
    <row r="243" spans="4:4" ht="12.3">
      <c r="D243" s="38"/>
    </row>
    <row r="244" spans="4:4" ht="12.3">
      <c r="D244" s="38"/>
    </row>
    <row r="245" spans="4:4" ht="12.3">
      <c r="D245" s="38"/>
    </row>
    <row r="246" spans="4:4" ht="12.3">
      <c r="D246" s="38"/>
    </row>
    <row r="247" spans="4:4" ht="12.3">
      <c r="D247" s="38"/>
    </row>
    <row r="248" spans="4:4" ht="12.3">
      <c r="D248" s="38"/>
    </row>
    <row r="249" spans="4:4" ht="12.3">
      <c r="D249" s="38"/>
    </row>
    <row r="250" spans="4:4" ht="12.3">
      <c r="D250" s="38"/>
    </row>
    <row r="251" spans="4:4" ht="12.3">
      <c r="D251" s="38"/>
    </row>
    <row r="252" spans="4:4" ht="12.3">
      <c r="D252" s="38"/>
    </row>
    <row r="253" spans="4:4" ht="12.3">
      <c r="D253" s="38"/>
    </row>
    <row r="254" spans="4:4" ht="12.3">
      <c r="D254" s="38"/>
    </row>
    <row r="255" spans="4:4" ht="12.3">
      <c r="D255" s="38"/>
    </row>
    <row r="256" spans="4:4" ht="12.3">
      <c r="D256" s="38"/>
    </row>
    <row r="257" spans="4:4" ht="12.3">
      <c r="D257" s="38"/>
    </row>
    <row r="258" spans="4:4" ht="12.3">
      <c r="D258" s="38"/>
    </row>
    <row r="259" spans="4:4" ht="12.3">
      <c r="D259" s="38"/>
    </row>
    <row r="260" spans="4:4" ht="12.3">
      <c r="D260" s="38"/>
    </row>
    <row r="261" spans="4:4" ht="12.3">
      <c r="D261" s="38"/>
    </row>
    <row r="262" spans="4:4" ht="12.3">
      <c r="D262" s="38"/>
    </row>
    <row r="263" spans="4:4" ht="12.3">
      <c r="D263" s="38"/>
    </row>
    <row r="264" spans="4:4" ht="12.3">
      <c r="D264" s="38"/>
    </row>
    <row r="265" spans="4:4" ht="12.3">
      <c r="D265" s="38"/>
    </row>
    <row r="266" spans="4:4" ht="12.3">
      <c r="D266" s="38"/>
    </row>
    <row r="267" spans="4:4" ht="12.3">
      <c r="D267" s="38"/>
    </row>
    <row r="268" spans="4:4" ht="12.3">
      <c r="D268" s="38"/>
    </row>
    <row r="269" spans="4:4" ht="12.3">
      <c r="D269" s="38"/>
    </row>
    <row r="270" spans="4:4" ht="12.3">
      <c r="D270" s="38"/>
    </row>
    <row r="271" spans="4:4" ht="12.3">
      <c r="D271" s="38"/>
    </row>
    <row r="272" spans="4:4" ht="12.3">
      <c r="D272" s="38"/>
    </row>
    <row r="273" spans="4:4" ht="12.3">
      <c r="D273" s="38"/>
    </row>
    <row r="274" spans="4:4" ht="12.3">
      <c r="D274" s="38"/>
    </row>
    <row r="275" spans="4:4" ht="12.3">
      <c r="D275" s="38"/>
    </row>
    <row r="276" spans="4:4" ht="12.3">
      <c r="D276" s="38"/>
    </row>
    <row r="277" spans="4:4" ht="12.3">
      <c r="D277" s="38"/>
    </row>
    <row r="278" spans="4:4" ht="12.3">
      <c r="D278" s="38"/>
    </row>
    <row r="279" spans="4:4" ht="12.3">
      <c r="D279" s="38"/>
    </row>
    <row r="280" spans="4:4" ht="12.3">
      <c r="D280" s="38"/>
    </row>
    <row r="281" spans="4:4" ht="12.3">
      <c r="D281" s="38"/>
    </row>
    <row r="282" spans="4:4" ht="12.3">
      <c r="D282" s="38"/>
    </row>
    <row r="283" spans="4:4" ht="12.3">
      <c r="D283" s="38"/>
    </row>
    <row r="284" spans="4:4" ht="12.3">
      <c r="D284" s="38"/>
    </row>
    <row r="285" spans="4:4" ht="12.3">
      <c r="D285" s="38"/>
    </row>
    <row r="286" spans="4:4" ht="12.3">
      <c r="D286" s="38"/>
    </row>
    <row r="287" spans="4:4" ht="12.3">
      <c r="D287" s="38"/>
    </row>
    <row r="288" spans="4:4" ht="12.3">
      <c r="D288" s="38"/>
    </row>
    <row r="289" spans="4:4" ht="12.3">
      <c r="D289" s="38"/>
    </row>
    <row r="290" spans="4:4" ht="12.3">
      <c r="D290" s="38"/>
    </row>
    <row r="291" spans="4:4" ht="12.3">
      <c r="D291" s="38"/>
    </row>
    <row r="292" spans="4:4" ht="12.3">
      <c r="D292" s="38"/>
    </row>
    <row r="293" spans="4:4" ht="12.3">
      <c r="D293" s="38"/>
    </row>
    <row r="294" spans="4:4" ht="12.3">
      <c r="D294" s="38"/>
    </row>
    <row r="295" spans="4:4" ht="12.3">
      <c r="D295" s="38"/>
    </row>
    <row r="296" spans="4:4" ht="12.3">
      <c r="D296" s="38"/>
    </row>
    <row r="297" spans="4:4" ht="12.3">
      <c r="D297" s="38"/>
    </row>
    <row r="298" spans="4:4" ht="12.3">
      <c r="D298" s="38"/>
    </row>
    <row r="299" spans="4:4" ht="12.3">
      <c r="D299" s="38"/>
    </row>
    <row r="300" spans="4:4" ht="12.3">
      <c r="D300" s="38"/>
    </row>
    <row r="301" spans="4:4" ht="12.3">
      <c r="D301" s="38"/>
    </row>
    <row r="302" spans="4:4" ht="12.3">
      <c r="D302" s="38"/>
    </row>
    <row r="303" spans="4:4" ht="12.3">
      <c r="D303" s="38"/>
    </row>
    <row r="304" spans="4:4" ht="12.3">
      <c r="D304" s="38"/>
    </row>
    <row r="305" spans="4:4" ht="12.3">
      <c r="D305" s="38"/>
    </row>
    <row r="306" spans="4:4" ht="12.3">
      <c r="D306" s="38"/>
    </row>
    <row r="307" spans="4:4" ht="12.3">
      <c r="D307" s="38"/>
    </row>
    <row r="308" spans="4:4" ht="12.3">
      <c r="D308" s="38"/>
    </row>
    <row r="309" spans="4:4" ht="12.3">
      <c r="D309" s="38"/>
    </row>
    <row r="310" spans="4:4" ht="12.3">
      <c r="D310" s="38"/>
    </row>
    <row r="311" spans="4:4" ht="12.3">
      <c r="D311" s="38"/>
    </row>
    <row r="312" spans="4:4" ht="12.3">
      <c r="D312" s="38"/>
    </row>
    <row r="313" spans="4:4" ht="12.3">
      <c r="D313" s="38"/>
    </row>
    <row r="314" spans="4:4" ht="12.3">
      <c r="D314" s="38"/>
    </row>
    <row r="315" spans="4:4" ht="12.3">
      <c r="D315" s="38"/>
    </row>
    <row r="316" spans="4:4" ht="12.3">
      <c r="D316" s="38"/>
    </row>
    <row r="317" spans="4:4" ht="12.3">
      <c r="D317" s="38"/>
    </row>
    <row r="318" spans="4:4" ht="12.3">
      <c r="D318" s="38"/>
    </row>
    <row r="319" spans="4:4" ht="12.3">
      <c r="D319" s="38"/>
    </row>
    <row r="320" spans="4:4" ht="12.3">
      <c r="D320" s="38"/>
    </row>
    <row r="321" spans="4:4" ht="12.3">
      <c r="D321" s="38"/>
    </row>
    <row r="322" spans="4:4" ht="12.3">
      <c r="D322" s="38"/>
    </row>
    <row r="323" spans="4:4" ht="12.3">
      <c r="D323" s="38"/>
    </row>
    <row r="324" spans="4:4" ht="12.3">
      <c r="D324" s="38"/>
    </row>
    <row r="325" spans="4:4" ht="12.3">
      <c r="D325" s="38"/>
    </row>
    <row r="326" spans="4:4" ht="12.3">
      <c r="D326" s="38"/>
    </row>
    <row r="327" spans="4:4" ht="12.3">
      <c r="D327" s="38"/>
    </row>
    <row r="328" spans="4:4" ht="12.3">
      <c r="D328" s="38"/>
    </row>
    <row r="329" spans="4:4" ht="12.3">
      <c r="D329" s="38"/>
    </row>
    <row r="330" spans="4:4" ht="12.3">
      <c r="D330" s="38"/>
    </row>
    <row r="331" spans="4:4" ht="12.3">
      <c r="D331" s="38"/>
    </row>
    <row r="332" spans="4:4" ht="12.3">
      <c r="D332" s="38"/>
    </row>
    <row r="333" spans="4:4" ht="12.3">
      <c r="D333" s="38"/>
    </row>
    <row r="334" spans="4:4" ht="12.3">
      <c r="D334" s="38"/>
    </row>
    <row r="335" spans="4:4" ht="12.3">
      <c r="D335" s="38"/>
    </row>
    <row r="336" spans="4:4" ht="12.3">
      <c r="D336" s="38"/>
    </row>
    <row r="337" spans="4:4" ht="12.3">
      <c r="D337" s="38"/>
    </row>
    <row r="338" spans="4:4" ht="12.3">
      <c r="D338" s="38"/>
    </row>
    <row r="339" spans="4:4" ht="12.3">
      <c r="D339" s="38"/>
    </row>
    <row r="340" spans="4:4" ht="12.3">
      <c r="D340" s="38"/>
    </row>
    <row r="341" spans="4:4" ht="12.3">
      <c r="D341" s="38"/>
    </row>
    <row r="342" spans="4:4" ht="12.3">
      <c r="D342" s="38"/>
    </row>
    <row r="343" spans="4:4" ht="12.3">
      <c r="D343" s="38"/>
    </row>
    <row r="344" spans="4:4" ht="12.3">
      <c r="D344" s="38"/>
    </row>
    <row r="345" spans="4:4" ht="12.3">
      <c r="D345" s="38"/>
    </row>
    <row r="346" spans="4:4" ht="12.3">
      <c r="D346" s="38"/>
    </row>
    <row r="347" spans="4:4" ht="12.3">
      <c r="D347" s="38"/>
    </row>
    <row r="348" spans="4:4" ht="12.3">
      <c r="D348" s="38"/>
    </row>
    <row r="349" spans="4:4" ht="12.3">
      <c r="D349" s="38"/>
    </row>
    <row r="350" spans="4:4" ht="12.3">
      <c r="D350" s="38"/>
    </row>
    <row r="351" spans="4:4" ht="12.3">
      <c r="D351" s="38"/>
    </row>
    <row r="352" spans="4:4" ht="12.3">
      <c r="D352" s="38"/>
    </row>
    <row r="353" spans="4:4" ht="12.3">
      <c r="D353" s="38"/>
    </row>
    <row r="354" spans="4:4" ht="12.3">
      <c r="D354" s="38"/>
    </row>
    <row r="355" spans="4:4" ht="12.3">
      <c r="D355" s="38"/>
    </row>
    <row r="356" spans="4:4" ht="12.3">
      <c r="D356" s="38"/>
    </row>
    <row r="357" spans="4:4" ht="12.3">
      <c r="D357" s="38"/>
    </row>
    <row r="358" spans="4:4" ht="12.3">
      <c r="D358" s="38"/>
    </row>
    <row r="359" spans="4:4" ht="12.3">
      <c r="D359" s="38"/>
    </row>
    <row r="360" spans="4:4" ht="12.3">
      <c r="D360" s="38"/>
    </row>
    <row r="361" spans="4:4" ht="12.3">
      <c r="D361" s="38"/>
    </row>
    <row r="362" spans="4:4" ht="12.3">
      <c r="D362" s="38"/>
    </row>
    <row r="363" spans="4:4" ht="12.3">
      <c r="D363" s="38"/>
    </row>
    <row r="364" spans="4:4" ht="12.3">
      <c r="D364" s="38"/>
    </row>
    <row r="365" spans="4:4" ht="12.3">
      <c r="D365" s="38"/>
    </row>
    <row r="366" spans="4:4" ht="12.3">
      <c r="D366" s="38"/>
    </row>
    <row r="367" spans="4:4" ht="12.3">
      <c r="D367" s="38"/>
    </row>
    <row r="368" spans="4:4" ht="12.3">
      <c r="D368" s="38"/>
    </row>
    <row r="369" spans="4:4" ht="12.3">
      <c r="D369" s="38"/>
    </row>
    <row r="370" spans="4:4" ht="12.3">
      <c r="D370" s="38"/>
    </row>
    <row r="371" spans="4:4" ht="12.3">
      <c r="D371" s="38"/>
    </row>
    <row r="372" spans="4:4" ht="12.3">
      <c r="D372" s="38"/>
    </row>
    <row r="373" spans="4:4" ht="12.3">
      <c r="D373" s="38"/>
    </row>
    <row r="374" spans="4:4" ht="12.3">
      <c r="D374" s="38"/>
    </row>
    <row r="375" spans="4:4" ht="12.3">
      <c r="D375" s="38"/>
    </row>
    <row r="376" spans="4:4" ht="12.3">
      <c r="D376" s="38"/>
    </row>
    <row r="377" spans="4:4" ht="12.3">
      <c r="D377" s="38"/>
    </row>
    <row r="378" spans="4:4" ht="12.3">
      <c r="D378" s="38"/>
    </row>
    <row r="379" spans="4:4" ht="12.3">
      <c r="D379" s="38"/>
    </row>
    <row r="380" spans="4:4" ht="12.3">
      <c r="D380" s="38"/>
    </row>
    <row r="381" spans="4:4" ht="12.3">
      <c r="D381" s="38"/>
    </row>
    <row r="382" spans="4:4" ht="12.3">
      <c r="D382" s="38"/>
    </row>
    <row r="383" spans="4:4" ht="12.3">
      <c r="D383" s="38"/>
    </row>
    <row r="384" spans="4:4" ht="12.3">
      <c r="D384" s="38"/>
    </row>
    <row r="385" spans="4:4" ht="12.3">
      <c r="D385" s="38"/>
    </row>
    <row r="386" spans="4:4" ht="12.3">
      <c r="D386" s="38"/>
    </row>
    <row r="387" spans="4:4" ht="12.3">
      <c r="D387" s="38"/>
    </row>
    <row r="388" spans="4:4" ht="12.3">
      <c r="D388" s="38"/>
    </row>
    <row r="389" spans="4:4" ht="12.3">
      <c r="D389" s="38"/>
    </row>
    <row r="390" spans="4:4" ht="12.3">
      <c r="D390" s="38"/>
    </row>
    <row r="391" spans="4:4" ht="12.3">
      <c r="D391" s="38"/>
    </row>
    <row r="392" spans="4:4" ht="12.3">
      <c r="D392" s="38"/>
    </row>
    <row r="393" spans="4:4" ht="12.3">
      <c r="D393" s="38"/>
    </row>
    <row r="394" spans="4:4" ht="12.3">
      <c r="D394" s="38"/>
    </row>
    <row r="395" spans="4:4" ht="12.3">
      <c r="D395" s="38"/>
    </row>
    <row r="396" spans="4:4" ht="12.3">
      <c r="D396" s="38"/>
    </row>
    <row r="397" spans="4:4" ht="12.3">
      <c r="D397" s="38"/>
    </row>
    <row r="398" spans="4:4" ht="12.3">
      <c r="D398" s="38"/>
    </row>
    <row r="399" spans="4:4" ht="12.3">
      <c r="D399" s="38"/>
    </row>
    <row r="400" spans="4:4" ht="12.3">
      <c r="D400" s="38"/>
    </row>
    <row r="401" spans="4:4" ht="12.3">
      <c r="D401" s="38"/>
    </row>
    <row r="402" spans="4:4" ht="12.3">
      <c r="D402" s="38"/>
    </row>
    <row r="403" spans="4:4" ht="12.3">
      <c r="D403" s="38"/>
    </row>
    <row r="404" spans="4:4" ht="12.3">
      <c r="D404" s="38"/>
    </row>
    <row r="405" spans="4:4" ht="12.3">
      <c r="D405" s="38"/>
    </row>
    <row r="406" spans="4:4" ht="12.3">
      <c r="D406" s="38"/>
    </row>
    <row r="407" spans="4:4" ht="12.3">
      <c r="D407" s="38"/>
    </row>
    <row r="408" spans="4:4" ht="12.3">
      <c r="D408" s="38"/>
    </row>
    <row r="409" spans="4:4" ht="12.3">
      <c r="D409" s="38"/>
    </row>
    <row r="410" spans="4:4" ht="12.3">
      <c r="D410" s="38"/>
    </row>
    <row r="411" spans="4:4" ht="12.3">
      <c r="D411" s="38"/>
    </row>
    <row r="412" spans="4:4" ht="12.3">
      <c r="D412" s="38"/>
    </row>
    <row r="413" spans="4:4" ht="12.3">
      <c r="D413" s="38"/>
    </row>
    <row r="414" spans="4:4" ht="12.3">
      <c r="D414" s="38"/>
    </row>
    <row r="415" spans="4:4" ht="12.3">
      <c r="D415" s="38"/>
    </row>
    <row r="416" spans="4:4" ht="12.3">
      <c r="D416" s="38"/>
    </row>
    <row r="417" spans="4:4" ht="12.3">
      <c r="D417" s="38"/>
    </row>
    <row r="418" spans="4:4" ht="12.3">
      <c r="D418" s="38"/>
    </row>
    <row r="419" spans="4:4" ht="12.3">
      <c r="D419" s="38"/>
    </row>
    <row r="420" spans="4:4" ht="12.3">
      <c r="D420" s="38"/>
    </row>
    <row r="421" spans="4:4" ht="12.3">
      <c r="D421" s="38"/>
    </row>
    <row r="422" spans="4:4" ht="12.3">
      <c r="D422" s="38"/>
    </row>
    <row r="423" spans="4:4" ht="12.3">
      <c r="D423" s="38"/>
    </row>
    <row r="424" spans="4:4" ht="12.3">
      <c r="D424" s="38"/>
    </row>
    <row r="425" spans="4:4" ht="12.3">
      <c r="D425" s="38"/>
    </row>
    <row r="426" spans="4:4" ht="12.3">
      <c r="D426" s="38"/>
    </row>
    <row r="427" spans="4:4" ht="12.3">
      <c r="D427" s="38"/>
    </row>
    <row r="428" spans="4:4" ht="12.3">
      <c r="D428" s="38"/>
    </row>
    <row r="429" spans="4:4" ht="12.3">
      <c r="D429" s="38"/>
    </row>
    <row r="430" spans="4:4" ht="12.3">
      <c r="D430" s="38"/>
    </row>
    <row r="431" spans="4:4" ht="12.3">
      <c r="D431" s="38"/>
    </row>
    <row r="432" spans="4:4" ht="12.3">
      <c r="D432" s="38"/>
    </row>
    <row r="433" spans="4:4" ht="12.3">
      <c r="D433" s="38"/>
    </row>
    <row r="434" spans="4:4" ht="12.3">
      <c r="D434" s="38"/>
    </row>
    <row r="435" spans="4:4" ht="12.3">
      <c r="D435" s="38"/>
    </row>
    <row r="436" spans="4:4" ht="12.3">
      <c r="D436" s="38"/>
    </row>
    <row r="437" spans="4:4" ht="12.3">
      <c r="D437" s="38"/>
    </row>
    <row r="438" spans="4:4" ht="12.3">
      <c r="D438" s="38"/>
    </row>
    <row r="439" spans="4:4" ht="12.3">
      <c r="D439" s="38"/>
    </row>
    <row r="440" spans="4:4" ht="12.3">
      <c r="D440" s="38"/>
    </row>
    <row r="441" spans="4:4" ht="12.3">
      <c r="D441" s="38"/>
    </row>
    <row r="442" spans="4:4" ht="12.3">
      <c r="D442" s="38"/>
    </row>
    <row r="443" spans="4:4" ht="12.3">
      <c r="D443" s="38"/>
    </row>
    <row r="444" spans="4:4" ht="12.3">
      <c r="D444" s="38"/>
    </row>
    <row r="445" spans="4:4" ht="12.3">
      <c r="D445" s="38"/>
    </row>
    <row r="446" spans="4:4" ht="12.3">
      <c r="D446" s="38"/>
    </row>
    <row r="447" spans="4:4" ht="12.3">
      <c r="D447" s="38"/>
    </row>
    <row r="448" spans="4:4" ht="12.3">
      <c r="D448" s="38"/>
    </row>
    <row r="449" spans="4:4" ht="12.3">
      <c r="D449" s="38"/>
    </row>
    <row r="450" spans="4:4" ht="12.3">
      <c r="D450" s="38"/>
    </row>
    <row r="451" spans="4:4" ht="12.3">
      <c r="D451" s="38"/>
    </row>
    <row r="452" spans="4:4" ht="12.3">
      <c r="D452" s="38"/>
    </row>
    <row r="453" spans="4:4" ht="12.3">
      <c r="D453" s="38"/>
    </row>
    <row r="454" spans="4:4" ht="12.3">
      <c r="D454" s="38"/>
    </row>
    <row r="455" spans="4:4" ht="12.3">
      <c r="D455" s="38"/>
    </row>
    <row r="456" spans="4:4" ht="12.3">
      <c r="D456" s="38"/>
    </row>
    <row r="457" spans="4:4" ht="12.3">
      <c r="D457" s="38"/>
    </row>
    <row r="458" spans="4:4" ht="12.3">
      <c r="D458" s="38"/>
    </row>
    <row r="459" spans="4:4" ht="12.3">
      <c r="D459" s="38"/>
    </row>
    <row r="460" spans="4:4" ht="12.3">
      <c r="D460" s="38"/>
    </row>
    <row r="461" spans="4:4" ht="12.3">
      <c r="D461" s="38"/>
    </row>
    <row r="462" spans="4:4" ht="12.3">
      <c r="D462" s="38"/>
    </row>
    <row r="463" spans="4:4" ht="12.3">
      <c r="D463" s="38"/>
    </row>
    <row r="464" spans="4:4" ht="12.3">
      <c r="D464" s="38"/>
    </row>
    <row r="465" spans="4:4" ht="12.3">
      <c r="D465" s="38"/>
    </row>
    <row r="466" spans="4:4" ht="12.3">
      <c r="D466" s="38"/>
    </row>
    <row r="467" spans="4:4" ht="12.3">
      <c r="D467" s="38"/>
    </row>
    <row r="468" spans="4:4" ht="12.3">
      <c r="D468" s="38"/>
    </row>
    <row r="469" spans="4:4" ht="12.3">
      <c r="D469" s="38"/>
    </row>
    <row r="470" spans="4:4" ht="12.3">
      <c r="D470" s="38"/>
    </row>
    <row r="471" spans="4:4" ht="12.3">
      <c r="D471" s="38"/>
    </row>
    <row r="472" spans="4:4" ht="12.3">
      <c r="D472" s="38"/>
    </row>
    <row r="473" spans="4:4" ht="12.3">
      <c r="D473" s="38"/>
    </row>
    <row r="474" spans="4:4" ht="12.3">
      <c r="D474" s="38"/>
    </row>
    <row r="475" spans="4:4" ht="12.3">
      <c r="D475" s="38"/>
    </row>
    <row r="476" spans="4:4" ht="12.3">
      <c r="D476" s="38"/>
    </row>
    <row r="477" spans="4:4" ht="12.3">
      <c r="D477" s="38"/>
    </row>
    <row r="478" spans="4:4" ht="12.3">
      <c r="D478" s="38"/>
    </row>
    <row r="479" spans="4:4" ht="12.3">
      <c r="D479" s="38"/>
    </row>
    <row r="480" spans="4:4" ht="12.3">
      <c r="D480" s="38"/>
    </row>
    <row r="481" spans="4:4" ht="12.3">
      <c r="D481" s="38"/>
    </row>
    <row r="482" spans="4:4" ht="12.3">
      <c r="D482" s="38"/>
    </row>
    <row r="483" spans="4:4" ht="12.3">
      <c r="D483" s="38"/>
    </row>
    <row r="484" spans="4:4" ht="12.3">
      <c r="D484" s="38"/>
    </row>
    <row r="485" spans="4:4" ht="12.3">
      <c r="D485" s="38"/>
    </row>
    <row r="486" spans="4:4" ht="12.3">
      <c r="D486" s="38"/>
    </row>
    <row r="487" spans="4:4" ht="12.3">
      <c r="D487" s="38"/>
    </row>
    <row r="488" spans="4:4" ht="12.3">
      <c r="D488" s="38"/>
    </row>
    <row r="489" spans="4:4" ht="12.3">
      <c r="D489" s="38"/>
    </row>
    <row r="490" spans="4:4" ht="12.3">
      <c r="D490" s="38"/>
    </row>
    <row r="491" spans="4:4" ht="12.3">
      <c r="D491" s="38"/>
    </row>
    <row r="492" spans="4:4" ht="12.3">
      <c r="D492" s="38"/>
    </row>
    <row r="493" spans="4:4" ht="12.3">
      <c r="D493" s="38"/>
    </row>
    <row r="494" spans="4:4" ht="12.3">
      <c r="D494" s="38"/>
    </row>
    <row r="495" spans="4:4" ht="12.3">
      <c r="D495" s="38"/>
    </row>
    <row r="496" spans="4:4" ht="12.3">
      <c r="D496" s="38"/>
    </row>
    <row r="497" spans="4:4" ht="12.3">
      <c r="D497" s="38"/>
    </row>
    <row r="498" spans="4:4" ht="12.3">
      <c r="D498" s="38"/>
    </row>
    <row r="499" spans="4:4" ht="12.3">
      <c r="D499" s="38"/>
    </row>
    <row r="500" spans="4:4" ht="12.3">
      <c r="D500" s="38"/>
    </row>
    <row r="501" spans="4:4" ht="12.3">
      <c r="D501" s="38"/>
    </row>
    <row r="502" spans="4:4" ht="12.3">
      <c r="D502" s="38"/>
    </row>
    <row r="503" spans="4:4" ht="12.3">
      <c r="D503" s="38"/>
    </row>
    <row r="504" spans="4:4" ht="12.3">
      <c r="D504" s="38"/>
    </row>
    <row r="505" spans="4:4" ht="12.3">
      <c r="D505" s="38"/>
    </row>
    <row r="506" spans="4:4" ht="12.3">
      <c r="D506" s="38"/>
    </row>
    <row r="507" spans="4:4" ht="12.3">
      <c r="D507" s="38"/>
    </row>
    <row r="508" spans="4:4" ht="12.3">
      <c r="D508" s="38"/>
    </row>
    <row r="509" spans="4:4" ht="12.3">
      <c r="D509" s="38"/>
    </row>
    <row r="510" spans="4:4" ht="12.3">
      <c r="D510" s="38"/>
    </row>
    <row r="511" spans="4:4" ht="12.3">
      <c r="D511" s="38"/>
    </row>
    <row r="512" spans="4:4" ht="12.3">
      <c r="D512" s="38"/>
    </row>
    <row r="513" spans="4:4" ht="12.3">
      <c r="D513" s="38"/>
    </row>
    <row r="514" spans="4:4" ht="12.3">
      <c r="D514" s="38"/>
    </row>
    <row r="515" spans="4:4" ht="12.3">
      <c r="D515" s="38"/>
    </row>
    <row r="516" spans="4:4" ht="12.3">
      <c r="D516" s="38"/>
    </row>
    <row r="517" spans="4:4" ht="12.3">
      <c r="D517" s="38"/>
    </row>
    <row r="518" spans="4:4" ht="12.3">
      <c r="D518" s="38"/>
    </row>
    <row r="519" spans="4:4" ht="12.3">
      <c r="D519" s="38"/>
    </row>
    <row r="520" spans="4:4" ht="12.3">
      <c r="D520" s="38"/>
    </row>
    <row r="521" spans="4:4" ht="12.3">
      <c r="D521" s="38"/>
    </row>
    <row r="522" spans="4:4" ht="12.3">
      <c r="D522" s="38"/>
    </row>
    <row r="523" spans="4:4" ht="12.3">
      <c r="D523" s="38"/>
    </row>
    <row r="524" spans="4:4" ht="12.3">
      <c r="D524" s="38"/>
    </row>
    <row r="525" spans="4:4" ht="12.3">
      <c r="D525" s="38"/>
    </row>
    <row r="526" spans="4:4" ht="12.3">
      <c r="D526" s="38"/>
    </row>
    <row r="527" spans="4:4" ht="12.3">
      <c r="D527" s="38"/>
    </row>
    <row r="528" spans="4:4" ht="12.3">
      <c r="D528" s="38"/>
    </row>
    <row r="529" spans="4:4" ht="12.3">
      <c r="D529" s="38"/>
    </row>
    <row r="530" spans="4:4" ht="12.3">
      <c r="D530" s="38"/>
    </row>
    <row r="531" spans="4:4" ht="12.3">
      <c r="D531" s="38"/>
    </row>
    <row r="532" spans="4:4" ht="12.3">
      <c r="D532" s="38"/>
    </row>
    <row r="533" spans="4:4" ht="12.3">
      <c r="D533" s="38"/>
    </row>
    <row r="534" spans="4:4" ht="12.3">
      <c r="D534" s="38"/>
    </row>
    <row r="535" spans="4:4" ht="12.3">
      <c r="D535" s="38"/>
    </row>
    <row r="536" spans="4:4" ht="12.3">
      <c r="D536" s="38"/>
    </row>
    <row r="537" spans="4:4" ht="12.3">
      <c r="D537" s="38"/>
    </row>
    <row r="538" spans="4:4" ht="12.3">
      <c r="D538" s="38"/>
    </row>
    <row r="539" spans="4:4" ht="12.3">
      <c r="D539" s="38"/>
    </row>
    <row r="540" spans="4:4" ht="12.3">
      <c r="D540" s="38"/>
    </row>
    <row r="541" spans="4:4" ht="12.3">
      <c r="D541" s="38"/>
    </row>
    <row r="542" spans="4:4" ht="12.3">
      <c r="D542" s="38"/>
    </row>
    <row r="543" spans="4:4" ht="12.3">
      <c r="D543" s="38"/>
    </row>
    <row r="544" spans="4:4" ht="12.3">
      <c r="D544" s="38"/>
    </row>
    <row r="545" spans="4:4" ht="12.3">
      <c r="D545" s="38"/>
    </row>
    <row r="546" spans="4:4" ht="12.3">
      <c r="D546" s="38"/>
    </row>
    <row r="547" spans="4:4" ht="12.3">
      <c r="D547" s="38"/>
    </row>
    <row r="548" spans="4:4" ht="12.3">
      <c r="D548" s="38"/>
    </row>
    <row r="549" spans="4:4" ht="12.3">
      <c r="D549" s="38"/>
    </row>
    <row r="550" spans="4:4" ht="12.3">
      <c r="D550" s="38"/>
    </row>
    <row r="551" spans="4:4" ht="12.3">
      <c r="D551" s="38"/>
    </row>
    <row r="552" spans="4:4" ht="12.3">
      <c r="D552" s="38"/>
    </row>
    <row r="553" spans="4:4" ht="12.3">
      <c r="D553" s="38"/>
    </row>
    <row r="554" spans="4:4" ht="12.3">
      <c r="D554" s="38"/>
    </row>
    <row r="555" spans="4:4" ht="12.3">
      <c r="D555" s="38"/>
    </row>
    <row r="556" spans="4:4" ht="12.3">
      <c r="D556" s="38"/>
    </row>
    <row r="557" spans="4:4" ht="12.3">
      <c r="D557" s="38"/>
    </row>
    <row r="558" spans="4:4" ht="12.3">
      <c r="D558" s="38"/>
    </row>
    <row r="559" spans="4:4" ht="12.3">
      <c r="D559" s="38"/>
    </row>
    <row r="560" spans="4:4" ht="12.3">
      <c r="D560" s="38"/>
    </row>
    <row r="561" spans="4:4" ht="12.3">
      <c r="D561" s="38"/>
    </row>
    <row r="562" spans="4:4" ht="12.3">
      <c r="D562" s="38"/>
    </row>
    <row r="563" spans="4:4" ht="12.3">
      <c r="D563" s="38"/>
    </row>
    <row r="564" spans="4:4" ht="12.3">
      <c r="D564" s="38"/>
    </row>
    <row r="565" spans="4:4" ht="12.3">
      <c r="D565" s="38"/>
    </row>
    <row r="566" spans="4:4" ht="12.3">
      <c r="D566" s="38"/>
    </row>
    <row r="567" spans="4:4" ht="12.3">
      <c r="D567" s="38"/>
    </row>
    <row r="568" spans="4:4" ht="12.3">
      <c r="D568" s="38"/>
    </row>
    <row r="569" spans="4:4" ht="12.3">
      <c r="D569" s="38"/>
    </row>
    <row r="570" spans="4:4" ht="12.3">
      <c r="D570" s="38"/>
    </row>
    <row r="571" spans="4:4" ht="12.3">
      <c r="D571" s="38"/>
    </row>
    <row r="572" spans="4:4" ht="12.3">
      <c r="D572" s="38"/>
    </row>
    <row r="573" spans="4:4" ht="12.3">
      <c r="D573" s="38"/>
    </row>
    <row r="574" spans="4:4" ht="12.3">
      <c r="D574" s="38"/>
    </row>
    <row r="575" spans="4:4" ht="12.3">
      <c r="D575" s="38"/>
    </row>
    <row r="576" spans="4:4" ht="12.3">
      <c r="D576" s="38"/>
    </row>
    <row r="577" spans="4:4" ht="12.3">
      <c r="D577" s="38"/>
    </row>
    <row r="578" spans="4:4" ht="12.3">
      <c r="D578" s="38"/>
    </row>
    <row r="579" spans="4:4" ht="12.3">
      <c r="D579" s="38"/>
    </row>
    <row r="580" spans="4:4" ht="12.3">
      <c r="D580" s="38"/>
    </row>
    <row r="581" spans="4:4" ht="12.3">
      <c r="D581" s="38"/>
    </row>
    <row r="582" spans="4:4" ht="12.3">
      <c r="D582" s="38"/>
    </row>
    <row r="583" spans="4:4" ht="12.3">
      <c r="D583" s="38"/>
    </row>
    <row r="584" spans="4:4" ht="12.3">
      <c r="D584" s="38"/>
    </row>
    <row r="585" spans="4:4" ht="12.3">
      <c r="D585" s="38"/>
    </row>
    <row r="586" spans="4:4" ht="12.3">
      <c r="D586" s="38"/>
    </row>
    <row r="587" spans="4:4" ht="12.3">
      <c r="D587" s="38"/>
    </row>
    <row r="588" spans="4:4" ht="12.3">
      <c r="D588" s="38"/>
    </row>
    <row r="589" spans="4:4" ht="12.3">
      <c r="D589" s="38"/>
    </row>
    <row r="590" spans="4:4" ht="12.3">
      <c r="D590" s="38"/>
    </row>
    <row r="591" spans="4:4" ht="12.3">
      <c r="D591" s="38"/>
    </row>
    <row r="592" spans="4:4" ht="12.3">
      <c r="D592" s="38"/>
    </row>
    <row r="593" spans="4:4" ht="12.3">
      <c r="D593" s="38"/>
    </row>
    <row r="594" spans="4:4" ht="12.3">
      <c r="D594" s="38"/>
    </row>
    <row r="595" spans="4:4" ht="12.3">
      <c r="D595" s="38"/>
    </row>
    <row r="596" spans="4:4" ht="12.3">
      <c r="D596" s="38"/>
    </row>
    <row r="597" spans="4:4" ht="12.3">
      <c r="D597" s="38"/>
    </row>
    <row r="598" spans="4:4" ht="12.3">
      <c r="D598" s="38"/>
    </row>
    <row r="599" spans="4:4" ht="12.3">
      <c r="D599" s="38"/>
    </row>
    <row r="600" spans="4:4" ht="12.3">
      <c r="D600" s="38"/>
    </row>
    <row r="601" spans="4:4" ht="12.3">
      <c r="D601" s="38"/>
    </row>
    <row r="602" spans="4:4" ht="12.3">
      <c r="D602" s="38"/>
    </row>
    <row r="603" spans="4:4" ht="12.3">
      <c r="D603" s="38"/>
    </row>
    <row r="604" spans="4:4" ht="12.3">
      <c r="D604" s="38"/>
    </row>
    <row r="605" spans="4:4" ht="12.3">
      <c r="D605" s="38"/>
    </row>
    <row r="606" spans="4:4" ht="12.3">
      <c r="D606" s="38"/>
    </row>
    <row r="607" spans="4:4" ht="12.3">
      <c r="D607" s="38"/>
    </row>
    <row r="608" spans="4:4" ht="12.3">
      <c r="D608" s="38"/>
    </row>
    <row r="609" spans="4:4" ht="12.3">
      <c r="D609" s="38"/>
    </row>
    <row r="610" spans="4:4" ht="12.3">
      <c r="D610" s="38"/>
    </row>
    <row r="611" spans="4:4" ht="12.3">
      <c r="D611" s="38"/>
    </row>
    <row r="612" spans="4:4" ht="12.3">
      <c r="D612" s="38"/>
    </row>
    <row r="613" spans="4:4" ht="12.3">
      <c r="D613" s="38"/>
    </row>
    <row r="614" spans="4:4" ht="12.3">
      <c r="D614" s="38"/>
    </row>
    <row r="615" spans="4:4" ht="12.3">
      <c r="D615" s="38"/>
    </row>
    <row r="616" spans="4:4" ht="12.3">
      <c r="D616" s="38"/>
    </row>
    <row r="617" spans="4:4" ht="12.3">
      <c r="D617" s="38"/>
    </row>
    <row r="618" spans="4:4" ht="12.3">
      <c r="D618" s="38"/>
    </row>
    <row r="619" spans="4:4" ht="12.3">
      <c r="D619" s="38"/>
    </row>
    <row r="620" spans="4:4" ht="12.3">
      <c r="D620" s="38"/>
    </row>
    <row r="621" spans="4:4" ht="12.3">
      <c r="D621" s="38"/>
    </row>
    <row r="622" spans="4:4" ht="12.3">
      <c r="D622" s="38"/>
    </row>
    <row r="623" spans="4:4" ht="12.3">
      <c r="D623" s="38"/>
    </row>
    <row r="624" spans="4:4" ht="12.3">
      <c r="D624" s="38"/>
    </row>
    <row r="625" spans="4:4" ht="12.3">
      <c r="D625" s="38"/>
    </row>
    <row r="626" spans="4:4" ht="12.3">
      <c r="D626" s="38"/>
    </row>
    <row r="627" spans="4:4" ht="12.3">
      <c r="D627" s="38"/>
    </row>
    <row r="628" spans="4:4" ht="12.3">
      <c r="D628" s="38"/>
    </row>
    <row r="629" spans="4:4" ht="12.3">
      <c r="D629" s="38"/>
    </row>
    <row r="630" spans="4:4" ht="12.3">
      <c r="D630" s="38"/>
    </row>
    <row r="631" spans="4:4" ht="12.3">
      <c r="D631" s="38"/>
    </row>
    <row r="632" spans="4:4" ht="12.3">
      <c r="D632" s="38"/>
    </row>
    <row r="633" spans="4:4" ht="12.3">
      <c r="D633" s="38"/>
    </row>
    <row r="634" spans="4:4" ht="12.3">
      <c r="D634" s="38"/>
    </row>
    <row r="635" spans="4:4" ht="12.3">
      <c r="D635" s="38"/>
    </row>
    <row r="636" spans="4:4" ht="12.3">
      <c r="D636" s="38"/>
    </row>
    <row r="637" spans="4:4" ht="12.3">
      <c r="D637" s="38"/>
    </row>
    <row r="638" spans="4:4" ht="12.3">
      <c r="D638" s="38"/>
    </row>
    <row r="639" spans="4:4" ht="12.3">
      <c r="D639" s="38"/>
    </row>
    <row r="640" spans="4:4" ht="12.3">
      <c r="D640" s="38"/>
    </row>
    <row r="641" spans="4:4" ht="12.3">
      <c r="D641" s="38"/>
    </row>
    <row r="642" spans="4:4" ht="12.3">
      <c r="D642" s="38"/>
    </row>
    <row r="643" spans="4:4" ht="12.3">
      <c r="D643" s="38"/>
    </row>
    <row r="644" spans="4:4" ht="12.3">
      <c r="D644" s="38"/>
    </row>
    <row r="645" spans="4:4" ht="12.3">
      <c r="D645" s="38"/>
    </row>
    <row r="646" spans="4:4" ht="12.3">
      <c r="D646" s="38"/>
    </row>
    <row r="647" spans="4:4" ht="12.3">
      <c r="D647" s="38"/>
    </row>
    <row r="648" spans="4:4" ht="12.3">
      <c r="D648" s="38"/>
    </row>
    <row r="649" spans="4:4" ht="12.3">
      <c r="D649" s="38"/>
    </row>
    <row r="650" spans="4:4" ht="12.3">
      <c r="D650" s="38"/>
    </row>
    <row r="651" spans="4:4" ht="12.3">
      <c r="D651" s="38"/>
    </row>
    <row r="652" spans="4:4" ht="12.3">
      <c r="D652" s="38"/>
    </row>
    <row r="653" spans="4:4" ht="12.3">
      <c r="D653" s="38"/>
    </row>
    <row r="654" spans="4:4" ht="12.3">
      <c r="D654" s="38"/>
    </row>
    <row r="655" spans="4:4" ht="12.3">
      <c r="D655" s="38"/>
    </row>
    <row r="656" spans="4:4" ht="12.3">
      <c r="D656" s="38"/>
    </row>
    <row r="657" spans="4:4" ht="12.3">
      <c r="D657" s="38"/>
    </row>
    <row r="658" spans="4:4" ht="12.3">
      <c r="D658" s="38"/>
    </row>
    <row r="659" spans="4:4" ht="12.3">
      <c r="D659" s="38"/>
    </row>
    <row r="660" spans="4:4" ht="12.3">
      <c r="D660" s="38"/>
    </row>
    <row r="661" spans="4:4" ht="12.3">
      <c r="D661" s="38"/>
    </row>
    <row r="662" spans="4:4" ht="12.3">
      <c r="D662" s="38"/>
    </row>
    <row r="663" spans="4:4" ht="12.3">
      <c r="D663" s="38"/>
    </row>
    <row r="664" spans="4:4" ht="12.3">
      <c r="D664" s="38"/>
    </row>
    <row r="665" spans="4:4" ht="12.3">
      <c r="D665" s="38"/>
    </row>
    <row r="666" spans="4:4" ht="12.3">
      <c r="D666" s="38"/>
    </row>
    <row r="667" spans="4:4" ht="12.3">
      <c r="D667" s="38"/>
    </row>
    <row r="668" spans="4:4" ht="12.3">
      <c r="D668" s="38"/>
    </row>
    <row r="669" spans="4:4" ht="12.3">
      <c r="D669" s="38"/>
    </row>
    <row r="670" spans="4:4" ht="12.3">
      <c r="D670" s="38"/>
    </row>
    <row r="671" spans="4:4" ht="12.3">
      <c r="D671" s="38"/>
    </row>
    <row r="672" spans="4:4" ht="12.3">
      <c r="D672" s="38"/>
    </row>
    <row r="673" spans="4:4" ht="12.3">
      <c r="D673" s="38"/>
    </row>
    <row r="674" spans="4:4" ht="12.3">
      <c r="D674" s="38"/>
    </row>
    <row r="675" spans="4:4" ht="12.3">
      <c r="D675" s="38"/>
    </row>
    <row r="676" spans="4:4" ht="12.3">
      <c r="D676" s="38"/>
    </row>
    <row r="677" spans="4:4" ht="12.3">
      <c r="D677" s="38"/>
    </row>
    <row r="678" spans="4:4" ht="12.3">
      <c r="D678" s="38"/>
    </row>
    <row r="679" spans="4:4" ht="12.3">
      <c r="D679" s="38"/>
    </row>
    <row r="680" spans="4:4" ht="12.3">
      <c r="D680" s="38"/>
    </row>
    <row r="681" spans="4:4" ht="12.3">
      <c r="D681" s="38"/>
    </row>
    <row r="682" spans="4:4" ht="12.3">
      <c r="D682" s="38"/>
    </row>
    <row r="683" spans="4:4" ht="12.3">
      <c r="D683" s="38"/>
    </row>
    <row r="684" spans="4:4" ht="12.3">
      <c r="D684" s="38"/>
    </row>
    <row r="685" spans="4:4" ht="12.3">
      <c r="D685" s="38"/>
    </row>
    <row r="686" spans="4:4" ht="12.3">
      <c r="D686" s="38"/>
    </row>
    <row r="687" spans="4:4" ht="12.3">
      <c r="D687" s="38"/>
    </row>
    <row r="688" spans="4:4" ht="12.3">
      <c r="D688" s="38"/>
    </row>
    <row r="689" spans="4:4" ht="12.3">
      <c r="D689" s="38"/>
    </row>
    <row r="690" spans="4:4" ht="12.3">
      <c r="D690" s="38"/>
    </row>
    <row r="691" spans="4:4" ht="12.3">
      <c r="D691" s="38"/>
    </row>
    <row r="692" spans="4:4" ht="12.3">
      <c r="D692" s="38"/>
    </row>
    <row r="693" spans="4:4" ht="12.3">
      <c r="D693" s="38"/>
    </row>
    <row r="694" spans="4:4" ht="12.3">
      <c r="D694" s="38"/>
    </row>
    <row r="695" spans="4:4" ht="12.3">
      <c r="D695" s="38"/>
    </row>
    <row r="696" spans="4:4" ht="12.3">
      <c r="D696" s="38"/>
    </row>
    <row r="697" spans="4:4" ht="12.3">
      <c r="D697" s="38"/>
    </row>
    <row r="698" spans="4:4" ht="12.3">
      <c r="D698" s="38"/>
    </row>
    <row r="699" spans="4:4" ht="12.3">
      <c r="D699" s="38"/>
    </row>
    <row r="700" spans="4:4" ht="12.3">
      <c r="D700" s="38"/>
    </row>
    <row r="701" spans="4:4" ht="12.3">
      <c r="D701" s="38"/>
    </row>
    <row r="702" spans="4:4" ht="12.3">
      <c r="D702" s="38"/>
    </row>
    <row r="703" spans="4:4" ht="12.3">
      <c r="D703" s="38"/>
    </row>
    <row r="704" spans="4:4" ht="12.3">
      <c r="D704" s="38"/>
    </row>
    <row r="705" spans="4:4" ht="12.3">
      <c r="D705" s="38"/>
    </row>
    <row r="706" spans="4:4" ht="12.3">
      <c r="D706" s="38"/>
    </row>
    <row r="707" spans="4:4" ht="12.3">
      <c r="D707" s="38"/>
    </row>
    <row r="708" spans="4:4" ht="12.3">
      <c r="D708" s="38"/>
    </row>
    <row r="709" spans="4:4" ht="12.3">
      <c r="D709" s="38"/>
    </row>
    <row r="710" spans="4:4" ht="12.3">
      <c r="D710" s="38"/>
    </row>
    <row r="711" spans="4:4" ht="12.3">
      <c r="D711" s="38"/>
    </row>
    <row r="712" spans="4:4" ht="12.3">
      <c r="D712" s="38"/>
    </row>
    <row r="713" spans="4:4" ht="12.3">
      <c r="D713" s="38"/>
    </row>
    <row r="714" spans="4:4" ht="12.3">
      <c r="D714" s="38"/>
    </row>
    <row r="715" spans="4:4" ht="12.3">
      <c r="D715" s="38"/>
    </row>
    <row r="716" spans="4:4" ht="12.3">
      <c r="D716" s="38"/>
    </row>
    <row r="717" spans="4:4" ht="12.3">
      <c r="D717" s="38"/>
    </row>
    <row r="718" spans="4:4" ht="12.3">
      <c r="D718" s="38"/>
    </row>
    <row r="719" spans="4:4" ht="12.3">
      <c r="D719" s="38"/>
    </row>
    <row r="720" spans="4:4" ht="12.3">
      <c r="D720" s="38"/>
    </row>
    <row r="721" spans="4:4" ht="12.3">
      <c r="D721" s="38"/>
    </row>
    <row r="722" spans="4:4" ht="12.3">
      <c r="D722" s="38"/>
    </row>
    <row r="723" spans="4:4" ht="12.3">
      <c r="D723" s="38"/>
    </row>
    <row r="724" spans="4:4" ht="12.3">
      <c r="D724" s="38"/>
    </row>
    <row r="725" spans="4:4" ht="12.3">
      <c r="D725" s="38"/>
    </row>
    <row r="726" spans="4:4" ht="12.3">
      <c r="D726" s="38"/>
    </row>
    <row r="727" spans="4:4" ht="12.3">
      <c r="D727" s="38"/>
    </row>
    <row r="728" spans="4:4" ht="12.3">
      <c r="D728" s="38"/>
    </row>
    <row r="729" spans="4:4" ht="12.3">
      <c r="D729" s="38"/>
    </row>
    <row r="730" spans="4:4" ht="12.3">
      <c r="D730" s="38"/>
    </row>
    <row r="731" spans="4:4" ht="12.3">
      <c r="D731" s="38"/>
    </row>
    <row r="732" spans="4:4" ht="12.3">
      <c r="D732" s="38"/>
    </row>
    <row r="733" spans="4:4" ht="12.3">
      <c r="D733" s="38"/>
    </row>
    <row r="734" spans="4:4" ht="12.3">
      <c r="D734" s="38"/>
    </row>
    <row r="735" spans="4:4" ht="12.3">
      <c r="D735" s="38"/>
    </row>
    <row r="736" spans="4:4" ht="12.3">
      <c r="D736" s="38"/>
    </row>
    <row r="737" spans="4:4" ht="12.3">
      <c r="D737" s="38"/>
    </row>
    <row r="738" spans="4:4" ht="12.3">
      <c r="D738" s="38"/>
    </row>
    <row r="739" spans="4:4" ht="12.3">
      <c r="D739" s="38"/>
    </row>
    <row r="740" spans="4:4" ht="12.3">
      <c r="D740" s="38"/>
    </row>
    <row r="741" spans="4:4" ht="12.3">
      <c r="D741" s="38"/>
    </row>
    <row r="742" spans="4:4" ht="12.3">
      <c r="D742" s="38"/>
    </row>
    <row r="743" spans="4:4" ht="12.3">
      <c r="D743" s="38"/>
    </row>
    <row r="744" spans="4:4" ht="12.3">
      <c r="D744" s="38"/>
    </row>
    <row r="745" spans="4:4" ht="12.3">
      <c r="D745" s="38"/>
    </row>
    <row r="746" spans="4:4" ht="12.3">
      <c r="D746" s="38"/>
    </row>
    <row r="747" spans="4:4" ht="12.3">
      <c r="D747" s="38"/>
    </row>
    <row r="748" spans="4:4" ht="12.3">
      <c r="D748" s="38"/>
    </row>
    <row r="749" spans="4:4" ht="12.3">
      <c r="D749" s="38"/>
    </row>
    <row r="750" spans="4:4" ht="12.3">
      <c r="D750" s="38"/>
    </row>
    <row r="751" spans="4:4" ht="12.3">
      <c r="D751" s="38"/>
    </row>
    <row r="752" spans="4:4" ht="12.3">
      <c r="D752" s="38"/>
    </row>
    <row r="753" spans="4:4" ht="12.3">
      <c r="D753" s="38"/>
    </row>
    <row r="754" spans="4:4" ht="12.3">
      <c r="D754" s="38"/>
    </row>
    <row r="755" spans="4:4" ht="12.3">
      <c r="D755" s="38"/>
    </row>
    <row r="756" spans="4:4" ht="12.3">
      <c r="D756" s="38"/>
    </row>
    <row r="757" spans="4:4" ht="12.3">
      <c r="D757" s="38"/>
    </row>
    <row r="758" spans="4:4" ht="12.3">
      <c r="D758" s="38"/>
    </row>
    <row r="759" spans="4:4" ht="12.3">
      <c r="D759" s="38"/>
    </row>
    <row r="760" spans="4:4" ht="12.3">
      <c r="D760" s="38"/>
    </row>
    <row r="761" spans="4:4" ht="12.3">
      <c r="D761" s="38"/>
    </row>
    <row r="762" spans="4:4" ht="12.3">
      <c r="D762" s="38"/>
    </row>
    <row r="763" spans="4:4" ht="12.3">
      <c r="D763" s="38"/>
    </row>
    <row r="764" spans="4:4" ht="12.3">
      <c r="D764" s="38"/>
    </row>
    <row r="765" spans="4:4" ht="12.3">
      <c r="D765" s="38"/>
    </row>
    <row r="766" spans="4:4" ht="12.3">
      <c r="D766" s="38"/>
    </row>
    <row r="767" spans="4:4" ht="12.3">
      <c r="D767" s="38"/>
    </row>
    <row r="768" spans="4:4" ht="12.3">
      <c r="D768" s="38"/>
    </row>
    <row r="769" spans="4:4" ht="12.3">
      <c r="D769" s="38"/>
    </row>
    <row r="770" spans="4:4" ht="12.3">
      <c r="D770" s="38"/>
    </row>
    <row r="771" spans="4:4" ht="12.3">
      <c r="D771" s="38"/>
    </row>
    <row r="772" spans="4:4" ht="12.3">
      <c r="D772" s="38"/>
    </row>
    <row r="773" spans="4:4" ht="12.3">
      <c r="D773" s="38"/>
    </row>
    <row r="774" spans="4:4" ht="12.3">
      <c r="D774" s="38"/>
    </row>
    <row r="775" spans="4:4" ht="12.3">
      <c r="D775" s="38"/>
    </row>
    <row r="776" spans="4:4" ht="12.3">
      <c r="D776" s="38"/>
    </row>
    <row r="777" spans="4:4" ht="12.3">
      <c r="D777" s="38"/>
    </row>
    <row r="778" spans="4:4" ht="12.3">
      <c r="D778" s="38"/>
    </row>
    <row r="779" spans="4:4" ht="12.3">
      <c r="D779" s="38"/>
    </row>
    <row r="780" spans="4:4" ht="12.3">
      <c r="D780" s="38"/>
    </row>
    <row r="781" spans="4:4" ht="12.3">
      <c r="D781" s="38"/>
    </row>
    <row r="782" spans="4:4" ht="12.3">
      <c r="D782" s="38"/>
    </row>
    <row r="783" spans="4:4" ht="12.3">
      <c r="D783" s="38"/>
    </row>
    <row r="784" spans="4:4" ht="12.3">
      <c r="D784" s="38"/>
    </row>
    <row r="785" spans="4:4" ht="12.3">
      <c r="D785" s="38"/>
    </row>
    <row r="786" spans="4:4" ht="12.3">
      <c r="D786" s="38"/>
    </row>
    <row r="787" spans="4:4" ht="12.3">
      <c r="D787" s="38"/>
    </row>
    <row r="788" spans="4:4" ht="12.3">
      <c r="D788" s="38"/>
    </row>
    <row r="789" spans="4:4" ht="12.3">
      <c r="D789" s="38"/>
    </row>
    <row r="790" spans="4:4" ht="12.3">
      <c r="D790" s="38"/>
    </row>
    <row r="791" spans="4:4" ht="12.3">
      <c r="D791" s="38"/>
    </row>
    <row r="792" spans="4:4" ht="12.3">
      <c r="D792" s="38"/>
    </row>
    <row r="793" spans="4:4" ht="12.3">
      <c r="D793" s="38"/>
    </row>
    <row r="794" spans="4:4" ht="12.3">
      <c r="D794" s="38"/>
    </row>
    <row r="795" spans="4:4" ht="12.3">
      <c r="D795" s="38"/>
    </row>
    <row r="796" spans="4:4" ht="12.3">
      <c r="D796" s="38"/>
    </row>
    <row r="797" spans="4:4" ht="12.3">
      <c r="D797" s="38"/>
    </row>
    <row r="798" spans="4:4" ht="12.3">
      <c r="D798" s="38"/>
    </row>
    <row r="799" spans="4:4" ht="12.3">
      <c r="D799" s="38"/>
    </row>
    <row r="800" spans="4:4" ht="12.3">
      <c r="D800" s="38"/>
    </row>
    <row r="801" spans="4:4" ht="12.3">
      <c r="D801" s="38"/>
    </row>
    <row r="802" spans="4:4" ht="12.3">
      <c r="D802" s="38"/>
    </row>
    <row r="803" spans="4:4" ht="12.3">
      <c r="D803" s="38"/>
    </row>
    <row r="804" spans="4:4" ht="12.3">
      <c r="D804" s="38"/>
    </row>
    <row r="805" spans="4:4" ht="12.3">
      <c r="D805" s="38"/>
    </row>
    <row r="806" spans="4:4" ht="12.3">
      <c r="D806" s="38"/>
    </row>
    <row r="807" spans="4:4" ht="12.3">
      <c r="D807" s="38"/>
    </row>
    <row r="808" spans="4:4" ht="12.3">
      <c r="D808" s="38"/>
    </row>
    <row r="809" spans="4:4" ht="12.3">
      <c r="D809" s="38"/>
    </row>
    <row r="810" spans="4:4" ht="12.3">
      <c r="D810" s="38"/>
    </row>
    <row r="811" spans="4:4" ht="12.3">
      <c r="D811" s="38"/>
    </row>
    <row r="812" spans="4:4" ht="12.3">
      <c r="D812" s="38"/>
    </row>
    <row r="813" spans="4:4" ht="12.3">
      <c r="D813" s="38"/>
    </row>
    <row r="814" spans="4:4" ht="12.3">
      <c r="D814" s="38"/>
    </row>
    <row r="815" spans="4:4" ht="12.3">
      <c r="D815" s="38"/>
    </row>
    <row r="816" spans="4:4" ht="12.3">
      <c r="D816" s="38"/>
    </row>
    <row r="817" spans="4:4" ht="12.3">
      <c r="D817" s="38"/>
    </row>
    <row r="818" spans="4:4" ht="12.3">
      <c r="D818" s="38"/>
    </row>
    <row r="819" spans="4:4" ht="12.3">
      <c r="D819" s="38"/>
    </row>
    <row r="820" spans="4:4" ht="12.3">
      <c r="D820" s="38"/>
    </row>
    <row r="821" spans="4:4" ht="12.3">
      <c r="D821" s="38"/>
    </row>
    <row r="822" spans="4:4" ht="12.3">
      <c r="D822" s="38"/>
    </row>
    <row r="823" spans="4:4" ht="12.3">
      <c r="D823" s="38"/>
    </row>
    <row r="824" spans="4:4" ht="12.3">
      <c r="D824" s="38"/>
    </row>
    <row r="825" spans="4:4" ht="12.3">
      <c r="D825" s="38"/>
    </row>
    <row r="826" spans="4:4" ht="12.3">
      <c r="D826" s="38"/>
    </row>
    <row r="827" spans="4:4" ht="12.3">
      <c r="D827" s="38"/>
    </row>
    <row r="828" spans="4:4" ht="12.3">
      <c r="D828" s="38"/>
    </row>
    <row r="829" spans="4:4" ht="12.3">
      <c r="D829" s="38"/>
    </row>
    <row r="830" spans="4:4" ht="12.3">
      <c r="D830" s="38"/>
    </row>
    <row r="831" spans="4:4" ht="12.3">
      <c r="D831" s="38"/>
    </row>
    <row r="832" spans="4:4" ht="12.3">
      <c r="D832" s="38"/>
    </row>
    <row r="833" spans="4:4" ht="12.3">
      <c r="D833" s="38"/>
    </row>
    <row r="834" spans="4:4" ht="12.3">
      <c r="D834" s="38"/>
    </row>
    <row r="835" spans="4:4" ht="12.3">
      <c r="D835" s="38"/>
    </row>
    <row r="836" spans="4:4" ht="12.3">
      <c r="D836" s="38"/>
    </row>
    <row r="837" spans="4:4" ht="12.3">
      <c r="D837" s="38"/>
    </row>
    <row r="838" spans="4:4" ht="12.3">
      <c r="D838" s="38"/>
    </row>
    <row r="839" spans="4:4" ht="12.3">
      <c r="D839" s="38"/>
    </row>
    <row r="840" spans="4:4" ht="12.3">
      <c r="D840" s="38"/>
    </row>
    <row r="841" spans="4:4" ht="12.3">
      <c r="D841" s="38"/>
    </row>
    <row r="842" spans="4:4" ht="12.3">
      <c r="D842" s="38"/>
    </row>
    <row r="843" spans="4:4" ht="12.3">
      <c r="D843" s="38"/>
    </row>
    <row r="844" spans="4:4" ht="12.3">
      <c r="D844" s="38"/>
    </row>
    <row r="845" spans="4:4" ht="12.3">
      <c r="D845" s="38"/>
    </row>
    <row r="846" spans="4:4" ht="12.3">
      <c r="D846" s="38"/>
    </row>
    <row r="847" spans="4:4" ht="12.3">
      <c r="D847" s="38"/>
    </row>
    <row r="848" spans="4:4" ht="12.3">
      <c r="D848" s="38"/>
    </row>
    <row r="849" spans="4:4" ht="12.3">
      <c r="D849" s="38"/>
    </row>
    <row r="850" spans="4:4" ht="12.3">
      <c r="D850" s="38"/>
    </row>
    <row r="851" spans="4:4" ht="12.3">
      <c r="D851" s="38"/>
    </row>
    <row r="852" spans="4:4" ht="12.3">
      <c r="D852" s="38"/>
    </row>
    <row r="853" spans="4:4" ht="12.3">
      <c r="D853" s="38"/>
    </row>
    <row r="854" spans="4:4" ht="12.3">
      <c r="D854" s="38"/>
    </row>
    <row r="855" spans="4:4" ht="12.3">
      <c r="D855" s="38"/>
    </row>
    <row r="856" spans="4:4" ht="12.3">
      <c r="D856" s="38"/>
    </row>
    <row r="857" spans="4:4" ht="12.3">
      <c r="D857" s="38"/>
    </row>
    <row r="858" spans="4:4" ht="12.3">
      <c r="D858" s="38"/>
    </row>
    <row r="859" spans="4:4" ht="12.3">
      <c r="D859" s="38"/>
    </row>
    <row r="860" spans="4:4" ht="12.3">
      <c r="D860" s="38"/>
    </row>
    <row r="861" spans="4:4" ht="12.3">
      <c r="D861" s="38"/>
    </row>
    <row r="862" spans="4:4" ht="12.3">
      <c r="D862" s="38"/>
    </row>
    <row r="863" spans="4:4" ht="12.3">
      <c r="D863" s="38"/>
    </row>
    <row r="864" spans="4:4" ht="12.3">
      <c r="D864" s="38"/>
    </row>
    <row r="865" spans="4:4" ht="12.3">
      <c r="D865" s="38"/>
    </row>
    <row r="866" spans="4:4" ht="12.3">
      <c r="D866" s="38"/>
    </row>
    <row r="867" spans="4:4" ht="12.3">
      <c r="D867" s="38"/>
    </row>
    <row r="868" spans="4:4" ht="12.3">
      <c r="D868" s="38"/>
    </row>
    <row r="869" spans="4:4" ht="12.3">
      <c r="D869" s="38"/>
    </row>
    <row r="870" spans="4:4" ht="12.3">
      <c r="D870" s="38"/>
    </row>
    <row r="871" spans="4:4" ht="12.3">
      <c r="D871" s="38"/>
    </row>
    <row r="872" spans="4:4" ht="12.3">
      <c r="D872" s="38"/>
    </row>
    <row r="873" spans="4:4" ht="12.3">
      <c r="D873" s="38"/>
    </row>
    <row r="874" spans="4:4" ht="12.3">
      <c r="D874" s="38"/>
    </row>
    <row r="875" spans="4:4" ht="12.3">
      <c r="D875" s="38"/>
    </row>
    <row r="876" spans="4:4" ht="12.3">
      <c r="D876" s="38"/>
    </row>
    <row r="877" spans="4:4" ht="12.3">
      <c r="D877" s="38"/>
    </row>
    <row r="878" spans="4:4" ht="12.3">
      <c r="D878" s="38"/>
    </row>
    <row r="879" spans="4:4" ht="12.3">
      <c r="D879" s="38"/>
    </row>
    <row r="880" spans="4:4" ht="12.3">
      <c r="D880" s="38"/>
    </row>
    <row r="881" spans="4:4" ht="12.3">
      <c r="D881" s="38"/>
    </row>
    <row r="882" spans="4:4" ht="12.3">
      <c r="D882" s="38"/>
    </row>
    <row r="883" spans="4:4" ht="12.3">
      <c r="D883" s="38"/>
    </row>
    <row r="884" spans="4:4" ht="12.3">
      <c r="D884" s="38"/>
    </row>
    <row r="885" spans="4:4" ht="12.3">
      <c r="D885" s="38"/>
    </row>
    <row r="886" spans="4:4" ht="12.3">
      <c r="D886" s="38"/>
    </row>
    <row r="887" spans="4:4" ht="12.3">
      <c r="D887" s="38"/>
    </row>
    <row r="888" spans="4:4" ht="12.3">
      <c r="D888" s="38"/>
    </row>
    <row r="889" spans="4:4" ht="12.3">
      <c r="D889" s="38"/>
    </row>
    <row r="890" spans="4:4" ht="12.3">
      <c r="D890" s="38"/>
    </row>
    <row r="891" spans="4:4" ht="12.3">
      <c r="D891" s="38"/>
    </row>
    <row r="892" spans="4:4" ht="12.3">
      <c r="D892" s="38"/>
    </row>
    <row r="893" spans="4:4" ht="12.3">
      <c r="D893" s="38"/>
    </row>
    <row r="894" spans="4:4" ht="12.3">
      <c r="D894" s="38"/>
    </row>
    <row r="895" spans="4:4" ht="12.3">
      <c r="D895" s="38"/>
    </row>
    <row r="896" spans="4:4" ht="12.3">
      <c r="D896" s="38"/>
    </row>
    <row r="897" spans="4:4" ht="12.3">
      <c r="D897" s="38"/>
    </row>
    <row r="898" spans="4:4" ht="12.3">
      <c r="D898" s="38"/>
    </row>
    <row r="899" spans="4:4" ht="12.3">
      <c r="D899" s="38"/>
    </row>
    <row r="900" spans="4:4" ht="12.3">
      <c r="D900" s="38"/>
    </row>
    <row r="901" spans="4:4" ht="12.3">
      <c r="D901" s="38"/>
    </row>
    <row r="902" spans="4:4" ht="12.3">
      <c r="D902" s="38"/>
    </row>
    <row r="903" spans="4:4" ht="12.3">
      <c r="D903" s="38"/>
    </row>
    <row r="904" spans="4:4" ht="12.3">
      <c r="D904" s="38"/>
    </row>
    <row r="905" spans="4:4" ht="12.3">
      <c r="D905" s="38"/>
    </row>
    <row r="906" spans="4:4" ht="12.3">
      <c r="D906" s="38"/>
    </row>
    <row r="907" spans="4:4" ht="12.3">
      <c r="D907" s="38"/>
    </row>
    <row r="908" spans="4:4" ht="12.3">
      <c r="D908" s="38"/>
    </row>
    <row r="909" spans="4:4" ht="12.3">
      <c r="D909" s="38"/>
    </row>
    <row r="910" spans="4:4" ht="12.3">
      <c r="D910" s="38"/>
    </row>
    <row r="911" spans="4:4" ht="12.3">
      <c r="D911" s="38"/>
    </row>
    <row r="912" spans="4:4" ht="12.3">
      <c r="D912" s="38"/>
    </row>
    <row r="913" spans="4:4" ht="12.3">
      <c r="D913" s="38"/>
    </row>
    <row r="914" spans="4:4" ht="12.3">
      <c r="D914" s="38"/>
    </row>
    <row r="915" spans="4:4" ht="12.3">
      <c r="D915" s="38"/>
    </row>
    <row r="916" spans="4:4" ht="12.3">
      <c r="D916" s="38"/>
    </row>
    <row r="917" spans="4:4" ht="12.3">
      <c r="D917" s="38"/>
    </row>
    <row r="918" spans="4:4" ht="12.3">
      <c r="D918" s="38"/>
    </row>
    <row r="919" spans="4:4" ht="12.3">
      <c r="D919" s="38"/>
    </row>
    <row r="920" spans="4:4" ht="12.3">
      <c r="D920" s="38"/>
    </row>
    <row r="921" spans="4:4" ht="12.3">
      <c r="D921" s="38"/>
    </row>
    <row r="922" spans="4:4" ht="12.3">
      <c r="D922" s="38"/>
    </row>
    <row r="923" spans="4:4" ht="12.3">
      <c r="D923" s="38"/>
    </row>
    <row r="924" spans="4:4" ht="12.3">
      <c r="D924" s="38"/>
    </row>
    <row r="925" spans="4:4" ht="12.3">
      <c r="D925" s="38"/>
    </row>
    <row r="926" spans="4:4" ht="12.3">
      <c r="D926" s="38"/>
    </row>
    <row r="927" spans="4:4" ht="12.3">
      <c r="D927" s="38"/>
    </row>
    <row r="928" spans="4:4" ht="12.3">
      <c r="D928" s="38"/>
    </row>
    <row r="929" spans="4:4" ht="12.3">
      <c r="D929" s="38"/>
    </row>
    <row r="930" spans="4:4" ht="12.3">
      <c r="D930" s="38"/>
    </row>
    <row r="931" spans="4:4" ht="12.3">
      <c r="D931" s="38"/>
    </row>
    <row r="932" spans="4:4" ht="12.3">
      <c r="D932" s="38"/>
    </row>
    <row r="933" spans="4:4" ht="12.3">
      <c r="D933" s="38"/>
    </row>
    <row r="934" spans="4:4" ht="12.3">
      <c r="D934" s="38"/>
    </row>
    <row r="935" spans="4:4" ht="12.3">
      <c r="D935" s="38"/>
    </row>
    <row r="936" spans="4:4" ht="12.3">
      <c r="D936" s="38"/>
    </row>
    <row r="937" spans="4:4" ht="12.3">
      <c r="D937" s="38"/>
    </row>
    <row r="938" spans="4:4" ht="12.3">
      <c r="D938" s="38"/>
    </row>
    <row r="939" spans="4:4" ht="12.3">
      <c r="D939" s="38"/>
    </row>
    <row r="940" spans="4:4" ht="12.3">
      <c r="D940" s="38"/>
    </row>
    <row r="941" spans="4:4" ht="12.3">
      <c r="D941" s="38"/>
    </row>
    <row r="942" spans="4:4" ht="12.3">
      <c r="D942" s="38"/>
    </row>
    <row r="943" spans="4:4" ht="12.3">
      <c r="D943" s="38"/>
    </row>
    <row r="944" spans="4:4" ht="12.3">
      <c r="D944" s="38"/>
    </row>
    <row r="945" spans="4:4" ht="12.3">
      <c r="D945" s="38"/>
    </row>
    <row r="946" spans="4:4" ht="12.3">
      <c r="D946" s="38"/>
    </row>
    <row r="947" spans="4:4" ht="12.3">
      <c r="D947" s="38"/>
    </row>
    <row r="948" spans="4:4" ht="12.3">
      <c r="D948" s="38"/>
    </row>
    <row r="949" spans="4:4" ht="12.3">
      <c r="D949" s="38"/>
    </row>
    <row r="950" spans="4:4" ht="12.3">
      <c r="D950" s="38"/>
    </row>
    <row r="951" spans="4:4" ht="12.3">
      <c r="D951" s="38"/>
    </row>
    <row r="952" spans="4:4" ht="12.3">
      <c r="D952" s="38"/>
    </row>
    <row r="953" spans="4:4" ht="12.3">
      <c r="D953" s="38"/>
    </row>
    <row r="954" spans="4:4" ht="12.3">
      <c r="D954" s="38"/>
    </row>
    <row r="955" spans="4:4" ht="12.3">
      <c r="D955" s="38"/>
    </row>
    <row r="956" spans="4:4" ht="12.3">
      <c r="D956" s="38"/>
    </row>
    <row r="957" spans="4:4" ht="12.3">
      <c r="D957" s="38"/>
    </row>
    <row r="958" spans="4:4" ht="12.3">
      <c r="D958" s="38"/>
    </row>
    <row r="959" spans="4:4" ht="12.3">
      <c r="D959" s="38"/>
    </row>
    <row r="960" spans="4:4" ht="12.3">
      <c r="D960" s="38"/>
    </row>
    <row r="961" spans="4:4" ht="12.3">
      <c r="D961" s="38"/>
    </row>
    <row r="962" spans="4:4" ht="12.3">
      <c r="D962" s="38"/>
    </row>
    <row r="963" spans="4:4" ht="12.3">
      <c r="D963" s="38"/>
    </row>
    <row r="964" spans="4:4" ht="12.3">
      <c r="D964" s="38"/>
    </row>
    <row r="965" spans="4:4" ht="12.3">
      <c r="D965" s="38"/>
    </row>
    <row r="966" spans="4:4" ht="12.3">
      <c r="D966" s="38"/>
    </row>
    <row r="967" spans="4:4" ht="12.3">
      <c r="D967" s="38"/>
    </row>
    <row r="968" spans="4:4" ht="12.3">
      <c r="D968" s="38"/>
    </row>
    <row r="969" spans="4:4" ht="12.3">
      <c r="D969" s="38"/>
    </row>
    <row r="970" spans="4:4" ht="12.3">
      <c r="D970" s="38"/>
    </row>
    <row r="971" spans="4:4" ht="12.3">
      <c r="D971" s="38"/>
    </row>
    <row r="972" spans="4:4" ht="12.3">
      <c r="D972" s="38"/>
    </row>
    <row r="973" spans="4:4" ht="12.3">
      <c r="D973" s="38"/>
    </row>
    <row r="974" spans="4:4" ht="12.3">
      <c r="D974" s="38"/>
    </row>
    <row r="975" spans="4:4" ht="12.3">
      <c r="D975" s="38"/>
    </row>
    <row r="976" spans="4:4" ht="12.3">
      <c r="D976" s="38"/>
    </row>
    <row r="977" spans="4:4" ht="12.3">
      <c r="D977" s="38"/>
    </row>
    <row r="978" spans="4:4" ht="12.3">
      <c r="D978" s="38"/>
    </row>
    <row r="979" spans="4:4" ht="12.3">
      <c r="D979" s="38"/>
    </row>
    <row r="980" spans="4:4" ht="12.3">
      <c r="D980" s="38"/>
    </row>
    <row r="981" spans="4:4" ht="12.3">
      <c r="D981" s="38"/>
    </row>
    <row r="982" spans="4:4" ht="12.3">
      <c r="D982" s="38"/>
    </row>
    <row r="983" spans="4:4" ht="12.3">
      <c r="D983" s="38"/>
    </row>
    <row r="984" spans="4:4" ht="12.3">
      <c r="D984" s="38"/>
    </row>
    <row r="985" spans="4:4" ht="12.3">
      <c r="D985" s="38"/>
    </row>
    <row r="986" spans="4:4" ht="12.3">
      <c r="D986" s="38"/>
    </row>
    <row r="987" spans="4:4" ht="12.3">
      <c r="D987" s="38"/>
    </row>
    <row r="988" spans="4:4" ht="12.3">
      <c r="D988" s="38"/>
    </row>
    <row r="989" spans="4:4" ht="12.3">
      <c r="D989" s="38"/>
    </row>
    <row r="990" spans="4:4" ht="12.3">
      <c r="D990" s="38"/>
    </row>
    <row r="991" spans="4:4" ht="12.3">
      <c r="D991" s="38"/>
    </row>
    <row r="992" spans="4:4" ht="12.3">
      <c r="D992" s="38"/>
    </row>
    <row r="993" spans="4:4" ht="12.3">
      <c r="D993" s="38"/>
    </row>
    <row r="994" spans="4:4" ht="12.3">
      <c r="D994" s="38"/>
    </row>
    <row r="995" spans="4:4" ht="12.3">
      <c r="D995" s="38"/>
    </row>
    <row r="996" spans="4:4" ht="12.3">
      <c r="D996" s="38"/>
    </row>
    <row r="997" spans="4:4" ht="12.3">
      <c r="D997" s="38"/>
    </row>
    <row r="998" spans="4:4" ht="12.3">
      <c r="D998" s="38"/>
    </row>
    <row r="999" spans="4:4" ht="12.3">
      <c r="D999" s="38"/>
    </row>
  </sheetData>
  <mergeCells count="1">
    <mergeCell ref="E8:E9"/>
  </mergeCells>
  <printOptions horizontalCentered="1" gridLines="1"/>
  <pageMargins left="0.7" right="0.7" top="0.75" bottom="0.75" header="0" footer="0"/>
  <pageSetup fitToHeight="0" pageOrder="overThenDown" orientation="landscape" cellComments="atEnd"/>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O38"/>
  <sheetViews>
    <sheetView workbookViewId="0">
      <pane ySplit="1" topLeftCell="A20" activePane="bottomLeft" state="frozen"/>
      <selection pane="bottomLeft" activeCell="D31" sqref="D31"/>
    </sheetView>
  </sheetViews>
  <sheetFormatPr defaultColWidth="12.609375" defaultRowHeight="15" customHeight="1"/>
  <cols>
    <col min="1" max="1" width="3.109375" customWidth="1"/>
    <col min="4" max="4" width="18.88671875" customWidth="1"/>
    <col min="13" max="13" width="37.88671875" customWidth="1"/>
  </cols>
  <sheetData>
    <row r="1" spans="1:15" ht="15" customHeight="1">
      <c r="A1" s="4"/>
      <c r="B1" s="12" t="s">
        <v>29</v>
      </c>
      <c r="C1" s="8" t="s">
        <v>37</v>
      </c>
      <c r="D1" s="8" t="s">
        <v>36</v>
      </c>
      <c r="E1" s="13" t="s">
        <v>175</v>
      </c>
      <c r="F1" s="8" t="s">
        <v>176</v>
      </c>
      <c r="G1" s="13" t="s">
        <v>177</v>
      </c>
      <c r="H1" s="13" t="s">
        <v>178</v>
      </c>
      <c r="I1" s="13" t="s">
        <v>38</v>
      </c>
      <c r="J1" s="13" t="s">
        <v>32</v>
      </c>
      <c r="K1" s="13" t="s">
        <v>33</v>
      </c>
      <c r="L1" s="13" t="s">
        <v>34</v>
      </c>
      <c r="M1" s="14" t="s">
        <v>35</v>
      </c>
      <c r="O1" s="1" t="s">
        <v>47</v>
      </c>
    </row>
    <row r="2" spans="1:15" ht="15" customHeight="1">
      <c r="A2" s="7">
        <v>1</v>
      </c>
      <c r="B2" s="15">
        <v>45991</v>
      </c>
      <c r="C2" s="16"/>
      <c r="D2" s="18" t="str">
        <f>'112225'!D2</f>
        <v>RALPH BAKER 1</v>
      </c>
      <c r="E2" s="18"/>
      <c r="F2" s="24"/>
      <c r="G2" s="18"/>
      <c r="H2" s="18"/>
      <c r="I2" s="18"/>
      <c r="J2" s="18"/>
      <c r="K2" s="18"/>
      <c r="L2" s="18"/>
      <c r="M2" s="28" t="s">
        <v>106</v>
      </c>
      <c r="O2" s="1">
        <f t="shared" ref="O2:O32" si="0">F2*12+G2</f>
        <v>0</v>
      </c>
    </row>
    <row r="3" spans="1:15" ht="15" customHeight="1">
      <c r="A3" s="20">
        <v>2</v>
      </c>
      <c r="B3" s="15">
        <v>45991</v>
      </c>
      <c r="C3" s="21"/>
      <c r="D3" s="18" t="str">
        <f>'112225'!D3</f>
        <v>SALLY 1-12H</v>
      </c>
      <c r="E3" s="23">
        <v>1</v>
      </c>
      <c r="F3" s="24">
        <v>2</v>
      </c>
      <c r="G3" s="24">
        <v>10</v>
      </c>
      <c r="H3" s="24">
        <v>150</v>
      </c>
      <c r="I3" s="24">
        <v>0</v>
      </c>
      <c r="J3" s="24"/>
      <c r="K3" s="24"/>
      <c r="L3" s="24">
        <v>34</v>
      </c>
      <c r="M3" s="25" t="s">
        <v>107</v>
      </c>
      <c r="O3" s="1">
        <f t="shared" si="0"/>
        <v>34</v>
      </c>
    </row>
    <row r="4" spans="1:15" ht="15" customHeight="1">
      <c r="A4" s="20">
        <v>3</v>
      </c>
      <c r="B4" s="15">
        <v>45991</v>
      </c>
      <c r="C4" s="21"/>
      <c r="D4" s="18" t="str">
        <f>'112225'!D4</f>
        <v>ANITA 1-13H</v>
      </c>
      <c r="E4" s="24">
        <v>1</v>
      </c>
      <c r="F4" s="24">
        <v>1</v>
      </c>
      <c r="G4" s="24">
        <v>0</v>
      </c>
      <c r="H4" s="24">
        <v>70</v>
      </c>
      <c r="I4" s="24">
        <v>85</v>
      </c>
      <c r="J4" s="24"/>
      <c r="K4" s="24"/>
      <c r="L4" s="24">
        <v>44</v>
      </c>
      <c r="M4" s="27" t="s">
        <v>39</v>
      </c>
      <c r="O4" s="1">
        <f t="shared" si="0"/>
        <v>12</v>
      </c>
    </row>
    <row r="5" spans="1:15" ht="15" customHeight="1">
      <c r="A5" s="7">
        <v>4</v>
      </c>
      <c r="B5" s="15">
        <v>45991</v>
      </c>
      <c r="C5" s="16"/>
      <c r="D5" s="18" t="str">
        <f>'112225'!D5</f>
        <v>ARIANA 1-18H</v>
      </c>
      <c r="E5" s="18">
        <v>1</v>
      </c>
      <c r="F5" s="18">
        <v>2</v>
      </c>
      <c r="G5" s="18">
        <v>3</v>
      </c>
      <c r="H5" s="18">
        <v>18</v>
      </c>
      <c r="I5" s="18">
        <v>0</v>
      </c>
      <c r="J5" s="18"/>
      <c r="K5" s="18"/>
      <c r="L5" s="18">
        <v>41</v>
      </c>
      <c r="M5" s="19" t="s">
        <v>107</v>
      </c>
      <c r="O5" s="1">
        <f t="shared" si="0"/>
        <v>27</v>
      </c>
    </row>
    <row r="6" spans="1:15" ht="15" customHeight="1">
      <c r="A6" s="7">
        <v>5</v>
      </c>
      <c r="B6" s="15">
        <v>45991</v>
      </c>
      <c r="C6" s="16"/>
      <c r="D6" s="18" t="str">
        <f>'112225'!D6</f>
        <v>CLAY 1-6H</v>
      </c>
      <c r="E6" s="18">
        <v>1</v>
      </c>
      <c r="F6" s="18">
        <v>3</v>
      </c>
      <c r="G6" s="18">
        <v>1</v>
      </c>
      <c r="H6" s="18">
        <v>123</v>
      </c>
      <c r="I6" s="18">
        <v>0</v>
      </c>
      <c r="J6" s="18"/>
      <c r="K6" s="18"/>
      <c r="L6" s="18">
        <v>45</v>
      </c>
      <c r="M6" s="28" t="s">
        <v>107</v>
      </c>
      <c r="O6" s="1">
        <f t="shared" si="0"/>
        <v>37</v>
      </c>
    </row>
    <row r="7" spans="1:15" ht="15" customHeight="1">
      <c r="A7" s="7">
        <v>6</v>
      </c>
      <c r="B7" s="15">
        <v>45991</v>
      </c>
      <c r="C7" s="16"/>
      <c r="D7" s="18" t="str">
        <f>'112225'!D7</f>
        <v>ARIANA 1-7H</v>
      </c>
      <c r="E7" s="18">
        <v>1</v>
      </c>
      <c r="F7" s="18">
        <v>2</v>
      </c>
      <c r="G7" s="18">
        <v>0</v>
      </c>
      <c r="H7" s="18">
        <v>121</v>
      </c>
      <c r="I7" s="18">
        <v>0</v>
      </c>
      <c r="J7" s="18"/>
      <c r="K7" s="18"/>
      <c r="L7" s="18">
        <v>36</v>
      </c>
      <c r="M7" s="28" t="s">
        <v>107</v>
      </c>
      <c r="O7" s="1">
        <f t="shared" si="0"/>
        <v>24</v>
      </c>
    </row>
    <row r="8" spans="1:15" ht="15" customHeight="1">
      <c r="A8" s="7">
        <v>7</v>
      </c>
      <c r="B8" s="15">
        <v>45991</v>
      </c>
      <c r="C8" s="16"/>
      <c r="D8" s="18" t="str">
        <f>'112225'!D8</f>
        <v>PEPPER 3-4H</v>
      </c>
      <c r="E8" s="49">
        <v>1</v>
      </c>
      <c r="F8" s="18">
        <v>1</v>
      </c>
      <c r="G8" s="18">
        <v>11</v>
      </c>
      <c r="H8" s="18">
        <v>58</v>
      </c>
      <c r="I8" s="18">
        <v>78</v>
      </c>
      <c r="J8" s="18"/>
      <c r="K8" s="18"/>
      <c r="L8" s="18">
        <v>31</v>
      </c>
      <c r="M8" s="28" t="s">
        <v>107</v>
      </c>
      <c r="O8" s="1">
        <f t="shared" si="0"/>
        <v>23</v>
      </c>
    </row>
    <row r="9" spans="1:15" ht="15" customHeight="1">
      <c r="A9" s="7">
        <v>8</v>
      </c>
      <c r="B9" s="15"/>
      <c r="C9" s="16"/>
      <c r="D9" s="18" t="str">
        <f>'112225'!D9</f>
        <v>PEPPER 4-4H</v>
      </c>
      <c r="E9" s="50"/>
      <c r="F9" s="18"/>
      <c r="G9" s="18"/>
      <c r="H9" s="18"/>
      <c r="I9" s="18"/>
      <c r="J9" s="18"/>
      <c r="K9" s="18"/>
      <c r="L9" s="18"/>
      <c r="M9" s="28"/>
      <c r="O9" s="1">
        <f t="shared" si="0"/>
        <v>0</v>
      </c>
    </row>
    <row r="10" spans="1:15" ht="15" customHeight="1">
      <c r="A10" s="20">
        <v>9</v>
      </c>
      <c r="B10" s="15">
        <v>45991</v>
      </c>
      <c r="C10" s="21"/>
      <c r="D10" s="18" t="str">
        <f>'112225'!D10</f>
        <v>BIRD 3319 1-6</v>
      </c>
      <c r="E10" s="23">
        <v>1</v>
      </c>
      <c r="F10" s="24">
        <v>2</v>
      </c>
      <c r="G10" s="24">
        <v>2</v>
      </c>
      <c r="H10" s="24">
        <v>0</v>
      </c>
      <c r="I10" s="24">
        <v>0</v>
      </c>
      <c r="J10" s="24"/>
      <c r="K10" s="24"/>
      <c r="L10" s="24">
        <v>33</v>
      </c>
      <c r="M10" s="19" t="s">
        <v>39</v>
      </c>
      <c r="O10" s="1">
        <f t="shared" si="0"/>
        <v>26</v>
      </c>
    </row>
    <row r="11" spans="1:15" ht="15" customHeight="1">
      <c r="A11" s="7">
        <v>10</v>
      </c>
      <c r="B11" s="15">
        <v>45991</v>
      </c>
      <c r="C11" s="16"/>
      <c r="D11" s="18" t="str">
        <f>'112225'!D11</f>
        <v>BIRD 3319 3-6</v>
      </c>
      <c r="E11" s="18"/>
      <c r="F11" s="18"/>
      <c r="G11" s="18"/>
      <c r="H11" s="18">
        <v>33</v>
      </c>
      <c r="I11" s="18">
        <v>46</v>
      </c>
      <c r="J11" s="18"/>
      <c r="K11" s="18"/>
      <c r="L11" s="18">
        <v>33</v>
      </c>
      <c r="M11" s="19" t="s">
        <v>108</v>
      </c>
      <c r="O11" s="1">
        <f t="shared" si="0"/>
        <v>0</v>
      </c>
    </row>
    <row r="12" spans="1:15" ht="15" customHeight="1">
      <c r="A12" s="7">
        <v>11</v>
      </c>
      <c r="B12" s="15">
        <v>45991</v>
      </c>
      <c r="C12" s="16"/>
      <c r="D12" s="18" t="str">
        <f>'112225'!D12</f>
        <v>JELLISON A 11-5</v>
      </c>
      <c r="E12" s="18">
        <v>1</v>
      </c>
      <c r="F12" s="18">
        <v>2</v>
      </c>
      <c r="G12" s="18">
        <v>9</v>
      </c>
      <c r="H12" s="18">
        <v>0</v>
      </c>
      <c r="I12" s="18"/>
      <c r="J12" s="18"/>
      <c r="K12" s="18"/>
      <c r="L12" s="18"/>
      <c r="M12" s="28"/>
      <c r="O12" s="1">
        <f t="shared" si="0"/>
        <v>33</v>
      </c>
    </row>
    <row r="13" spans="1:15" ht="15" customHeight="1">
      <c r="A13" s="20">
        <v>12</v>
      </c>
      <c r="B13" s="15">
        <v>45991</v>
      </c>
      <c r="C13" s="21"/>
      <c r="D13" s="18" t="str">
        <f>'112225'!D13</f>
        <v>ROCK 3319 1-16H</v>
      </c>
      <c r="E13" s="24">
        <v>1</v>
      </c>
      <c r="F13" s="24">
        <v>2</v>
      </c>
      <c r="G13" s="24">
        <v>2</v>
      </c>
      <c r="H13" s="24">
        <v>70</v>
      </c>
      <c r="I13" s="24">
        <v>35</v>
      </c>
      <c r="J13" s="24"/>
      <c r="K13" s="24"/>
      <c r="L13" s="24">
        <v>30</v>
      </c>
      <c r="M13" s="28" t="s">
        <v>107</v>
      </c>
      <c r="O13" s="1">
        <f t="shared" si="0"/>
        <v>26</v>
      </c>
    </row>
    <row r="14" spans="1:15" ht="15" customHeight="1">
      <c r="A14" s="7">
        <v>13</v>
      </c>
      <c r="B14" s="15"/>
      <c r="C14" s="16"/>
      <c r="D14" s="18" t="str">
        <f>'112225'!D14</f>
        <v>Dixie 3120 1‐25 SWD</v>
      </c>
      <c r="E14" s="18"/>
      <c r="F14" s="18"/>
      <c r="G14" s="18"/>
      <c r="H14" s="18"/>
      <c r="I14" s="18"/>
      <c r="J14" s="18"/>
      <c r="K14" s="18"/>
      <c r="L14" s="18"/>
      <c r="M14" s="19"/>
      <c r="O14" s="1">
        <f t="shared" si="0"/>
        <v>0</v>
      </c>
    </row>
    <row r="15" spans="1:15" ht="15" customHeight="1">
      <c r="A15" s="7">
        <v>14</v>
      </c>
      <c r="B15" s="15">
        <v>45991</v>
      </c>
      <c r="C15" s="16"/>
      <c r="D15" s="18" t="str">
        <f>'112225'!D15</f>
        <v>GARLAND 1-26H</v>
      </c>
      <c r="E15" s="18">
        <v>1</v>
      </c>
      <c r="F15" s="18">
        <v>2</v>
      </c>
      <c r="G15" s="18">
        <v>6</v>
      </c>
      <c r="H15" s="18">
        <v>56</v>
      </c>
      <c r="I15" s="18">
        <v>73</v>
      </c>
      <c r="J15" s="18">
        <v>160</v>
      </c>
      <c r="K15" s="18">
        <v>6</v>
      </c>
      <c r="L15" s="18">
        <v>69</v>
      </c>
      <c r="M15" s="28" t="s">
        <v>109</v>
      </c>
      <c r="O15" s="1">
        <f t="shared" si="0"/>
        <v>30</v>
      </c>
    </row>
    <row r="16" spans="1:15" ht="15" customHeight="1">
      <c r="A16" s="7">
        <v>15</v>
      </c>
      <c r="B16" s="15">
        <v>45991</v>
      </c>
      <c r="C16" s="16"/>
      <c r="D16" s="18" t="str">
        <f>'112225'!D16</f>
        <v>PTL 1-15H</v>
      </c>
      <c r="E16" s="18">
        <v>1</v>
      </c>
      <c r="F16" s="18">
        <v>8</v>
      </c>
      <c r="G16" s="18">
        <v>1.5</v>
      </c>
      <c r="H16" s="18">
        <v>53</v>
      </c>
      <c r="I16" s="18">
        <v>74</v>
      </c>
      <c r="J16" s="18">
        <v>180</v>
      </c>
      <c r="K16" s="18">
        <v>51</v>
      </c>
      <c r="L16" s="18">
        <v>54</v>
      </c>
      <c r="M16" s="28" t="s">
        <v>110</v>
      </c>
      <c r="O16" s="1">
        <f t="shared" si="0"/>
        <v>97.5</v>
      </c>
    </row>
    <row r="17" spans="1:15" ht="15" customHeight="1">
      <c r="A17" s="7">
        <v>16</v>
      </c>
      <c r="B17" s="15">
        <v>45991</v>
      </c>
      <c r="C17" s="16"/>
      <c r="D17" s="18" t="str">
        <f>'112225'!D17</f>
        <v>GABRIEL 2-12H</v>
      </c>
      <c r="E17" s="18">
        <v>2</v>
      </c>
      <c r="F17" s="18">
        <v>10</v>
      </c>
      <c r="G17" s="18">
        <v>7</v>
      </c>
      <c r="H17" s="18">
        <v>49</v>
      </c>
      <c r="I17" s="18">
        <v>42</v>
      </c>
      <c r="J17" s="18"/>
      <c r="K17" s="18"/>
      <c r="L17" s="18">
        <v>50</v>
      </c>
      <c r="M17" s="19" t="s">
        <v>39</v>
      </c>
      <c r="O17" s="1">
        <f t="shared" si="0"/>
        <v>127</v>
      </c>
    </row>
    <row r="18" spans="1:15" ht="15" customHeight="1">
      <c r="A18" s="7">
        <v>17</v>
      </c>
      <c r="B18" s="15">
        <v>45991</v>
      </c>
      <c r="C18" s="16"/>
      <c r="D18" s="18" t="str">
        <f>'112225'!D18</f>
        <v>GABRIEL 1-12H</v>
      </c>
      <c r="E18" s="18">
        <v>2</v>
      </c>
      <c r="F18" s="18">
        <v>4</v>
      </c>
      <c r="G18" s="18">
        <v>9</v>
      </c>
      <c r="H18" s="18">
        <v>47</v>
      </c>
      <c r="I18" s="18">
        <v>21</v>
      </c>
      <c r="J18" s="18"/>
      <c r="K18" s="18"/>
      <c r="L18" s="18">
        <v>51</v>
      </c>
      <c r="M18" s="19" t="s">
        <v>39</v>
      </c>
      <c r="O18" s="1">
        <f t="shared" si="0"/>
        <v>57</v>
      </c>
    </row>
    <row r="19" spans="1:15" ht="15" customHeight="1">
      <c r="A19" s="7">
        <v>18</v>
      </c>
      <c r="B19" s="15">
        <v>45991</v>
      </c>
      <c r="C19" s="16"/>
      <c r="D19" s="18" t="str">
        <f>'112225'!D19</f>
        <v>SEAN 1-18H</v>
      </c>
      <c r="E19" s="18">
        <v>1</v>
      </c>
      <c r="F19" s="18">
        <v>8</v>
      </c>
      <c r="G19" s="18">
        <v>4</v>
      </c>
      <c r="H19" s="18">
        <v>54</v>
      </c>
      <c r="I19" s="18">
        <v>51</v>
      </c>
      <c r="J19" s="18"/>
      <c r="K19" s="18"/>
      <c r="L19" s="18">
        <v>54</v>
      </c>
      <c r="M19" s="19" t="s">
        <v>39</v>
      </c>
      <c r="O19" s="1">
        <f t="shared" si="0"/>
        <v>100</v>
      </c>
    </row>
    <row r="20" spans="1:15" ht="15" customHeight="1">
      <c r="A20" s="7">
        <v>19</v>
      </c>
      <c r="B20" s="15">
        <v>45991</v>
      </c>
      <c r="C20" s="16"/>
      <c r="D20" s="18" t="str">
        <f>'112225'!D20</f>
        <v>SEAN 3119 3-18H</v>
      </c>
      <c r="E20" s="18">
        <v>1</v>
      </c>
      <c r="F20" s="18">
        <v>2</v>
      </c>
      <c r="G20" s="18">
        <v>0</v>
      </c>
      <c r="H20" s="18">
        <v>27</v>
      </c>
      <c r="I20" s="18">
        <v>31</v>
      </c>
      <c r="J20" s="18"/>
      <c r="K20" s="18"/>
      <c r="L20" s="18">
        <v>50</v>
      </c>
      <c r="M20" s="28" t="s">
        <v>39</v>
      </c>
      <c r="O20" s="1">
        <f t="shared" si="0"/>
        <v>24</v>
      </c>
    </row>
    <row r="21" spans="1:15" ht="15" customHeight="1">
      <c r="A21" s="7">
        <v>20</v>
      </c>
      <c r="B21" s="15">
        <v>45991</v>
      </c>
      <c r="C21" s="16"/>
      <c r="D21" s="18" t="str">
        <f>'112225'!D21</f>
        <v>ELLIS 2-19H</v>
      </c>
      <c r="E21" s="18">
        <v>16</v>
      </c>
      <c r="F21" s="18">
        <v>6</v>
      </c>
      <c r="G21" s="18">
        <v>0</v>
      </c>
      <c r="H21" s="18">
        <v>85</v>
      </c>
      <c r="I21" s="18">
        <v>97</v>
      </c>
      <c r="J21" s="18"/>
      <c r="K21" s="18"/>
      <c r="L21" s="18">
        <v>52</v>
      </c>
      <c r="M21" s="19" t="s">
        <v>39</v>
      </c>
      <c r="O21" s="1">
        <f t="shared" si="0"/>
        <v>72</v>
      </c>
    </row>
    <row r="22" spans="1:15" ht="15" customHeight="1">
      <c r="A22" s="7">
        <v>21</v>
      </c>
      <c r="B22" s="15">
        <v>45991</v>
      </c>
      <c r="C22" s="16"/>
      <c r="D22" s="18" t="str">
        <f>'112225'!D22</f>
        <v>BROTHERS 1-6H</v>
      </c>
      <c r="E22" s="18">
        <v>1</v>
      </c>
      <c r="F22" s="39">
        <v>4</v>
      </c>
      <c r="G22" s="39">
        <v>6</v>
      </c>
      <c r="H22" s="18">
        <v>74.8</v>
      </c>
      <c r="I22" s="18">
        <v>0</v>
      </c>
      <c r="J22" s="18">
        <v>165</v>
      </c>
      <c r="K22" s="18">
        <v>68</v>
      </c>
      <c r="L22" s="18">
        <v>70.099999999999994</v>
      </c>
      <c r="M22" s="28" t="s">
        <v>111</v>
      </c>
      <c r="O22" s="1">
        <f t="shared" si="0"/>
        <v>54</v>
      </c>
    </row>
    <row r="23" spans="1:15" ht="15" customHeight="1">
      <c r="A23" s="7">
        <v>22</v>
      </c>
      <c r="B23" s="15">
        <v>45991</v>
      </c>
      <c r="C23" s="16"/>
      <c r="D23" s="18" t="str">
        <f>'112225'!D23</f>
        <v>BROTHERS 2-6H</v>
      </c>
      <c r="E23" s="18">
        <v>1</v>
      </c>
      <c r="F23" s="18">
        <v>3</v>
      </c>
      <c r="G23" s="18">
        <v>9</v>
      </c>
      <c r="H23" s="18">
        <v>103</v>
      </c>
      <c r="I23" s="18">
        <v>113</v>
      </c>
      <c r="J23" s="18"/>
      <c r="K23" s="18"/>
      <c r="L23" s="18">
        <v>84</v>
      </c>
      <c r="M23" s="19" t="s">
        <v>112</v>
      </c>
      <c r="O23" s="1">
        <f t="shared" si="0"/>
        <v>45</v>
      </c>
    </row>
    <row r="24" spans="1:15" ht="15" customHeight="1">
      <c r="A24" s="20">
        <v>23</v>
      </c>
      <c r="B24" s="15">
        <v>45991</v>
      </c>
      <c r="C24" s="21"/>
      <c r="D24" s="18" t="str">
        <f>'112225'!D24</f>
        <v>SARAH 1-34H</v>
      </c>
      <c r="E24" s="23">
        <v>1</v>
      </c>
      <c r="F24" s="24">
        <v>5</v>
      </c>
      <c r="G24" s="24">
        <v>8</v>
      </c>
      <c r="H24" s="24">
        <v>8</v>
      </c>
      <c r="I24" s="24">
        <v>0</v>
      </c>
      <c r="J24" s="24"/>
      <c r="K24" s="24"/>
      <c r="L24" s="24">
        <v>36</v>
      </c>
      <c r="M24" s="27" t="s">
        <v>113</v>
      </c>
      <c r="O24" s="1">
        <f t="shared" si="0"/>
        <v>68</v>
      </c>
    </row>
    <row r="25" spans="1:15" ht="15" customHeight="1">
      <c r="A25" s="20">
        <v>24</v>
      </c>
      <c r="B25" s="15">
        <v>45991</v>
      </c>
      <c r="C25" s="21"/>
      <c r="D25" s="18" t="str">
        <f>'112225'!D25</f>
        <v>SARAH 2-34H</v>
      </c>
      <c r="E25" s="23">
        <v>1</v>
      </c>
      <c r="F25" s="24">
        <v>4</v>
      </c>
      <c r="G25" s="24">
        <v>0</v>
      </c>
      <c r="H25" s="24">
        <v>27</v>
      </c>
      <c r="I25" s="24">
        <v>95</v>
      </c>
      <c r="J25" s="24"/>
      <c r="K25" s="24"/>
      <c r="L25" s="24">
        <v>56</v>
      </c>
      <c r="M25" s="27"/>
      <c r="O25" s="1">
        <f t="shared" si="0"/>
        <v>48</v>
      </c>
    </row>
    <row r="26" spans="1:15" ht="15" customHeight="1">
      <c r="A26" s="7">
        <v>25</v>
      </c>
      <c r="B26" s="15">
        <v>45991</v>
      </c>
      <c r="C26" s="16"/>
      <c r="D26" s="18" t="str">
        <f>'112225'!D26</f>
        <v>WANDA 1-2H 1L</v>
      </c>
      <c r="E26" s="5">
        <v>1</v>
      </c>
      <c r="F26" s="18">
        <v>4</v>
      </c>
      <c r="G26" s="18">
        <v>9</v>
      </c>
      <c r="H26" s="18">
        <v>198</v>
      </c>
      <c r="I26" s="18">
        <v>247</v>
      </c>
      <c r="J26" s="18"/>
      <c r="K26" s="18"/>
      <c r="L26" s="18">
        <v>51</v>
      </c>
      <c r="M26" s="28"/>
      <c r="O26" s="1">
        <f t="shared" si="0"/>
        <v>57</v>
      </c>
    </row>
    <row r="27" spans="1:15" ht="15" customHeight="1">
      <c r="A27" s="7">
        <v>26</v>
      </c>
      <c r="B27" s="15">
        <v>45991</v>
      </c>
      <c r="C27" s="35"/>
      <c r="D27" s="18" t="str">
        <f>'112225'!D27</f>
        <v>Yankee 3317 1-27 SWD</v>
      </c>
      <c r="E27" s="18"/>
      <c r="F27" s="18"/>
      <c r="G27" s="18"/>
      <c r="H27" s="36"/>
      <c r="I27" s="36"/>
      <c r="J27" s="36"/>
      <c r="K27" s="36"/>
      <c r="L27" s="36"/>
      <c r="M27" s="19">
        <v>7761683</v>
      </c>
      <c r="O27" s="1">
        <f t="shared" si="0"/>
        <v>0</v>
      </c>
    </row>
    <row r="28" spans="1:15" ht="15" customHeight="1">
      <c r="A28" s="7">
        <v>27</v>
      </c>
      <c r="B28" s="15">
        <v>45991</v>
      </c>
      <c r="C28" s="18"/>
      <c r="D28" s="18" t="s">
        <v>179</v>
      </c>
      <c r="E28" s="18"/>
      <c r="F28" s="18"/>
      <c r="G28" s="18"/>
      <c r="H28" s="18"/>
      <c r="I28" s="18"/>
      <c r="J28" s="18"/>
      <c r="K28" s="18"/>
      <c r="L28" s="18"/>
      <c r="M28" s="28" t="s">
        <v>114</v>
      </c>
      <c r="O28" s="1">
        <f t="shared" si="0"/>
        <v>0</v>
      </c>
    </row>
    <row r="29" spans="1:15" ht="12.3">
      <c r="A29" s="7">
        <v>28</v>
      </c>
      <c r="B29" s="15"/>
      <c r="C29" s="18"/>
      <c r="D29" s="18" t="s">
        <v>77</v>
      </c>
      <c r="E29" s="18"/>
      <c r="F29" s="18"/>
      <c r="G29" s="18"/>
      <c r="H29" s="18"/>
      <c r="I29" s="18"/>
      <c r="J29" s="18"/>
      <c r="K29" s="18"/>
      <c r="L29" s="18"/>
      <c r="M29" s="28"/>
      <c r="O29" s="1">
        <f t="shared" si="0"/>
        <v>0</v>
      </c>
    </row>
    <row r="30" spans="1:15" ht="12.3">
      <c r="A30" s="7">
        <v>29</v>
      </c>
      <c r="B30" s="15"/>
      <c r="C30" s="18"/>
      <c r="D30" s="37" t="s">
        <v>1</v>
      </c>
      <c r="E30" s="18"/>
      <c r="F30" s="18"/>
      <c r="G30" s="18"/>
      <c r="H30" s="18"/>
      <c r="I30" s="18"/>
      <c r="J30" s="18"/>
      <c r="K30" s="18"/>
      <c r="L30" s="18"/>
      <c r="M30" s="28"/>
      <c r="O30" s="1">
        <f t="shared" si="0"/>
        <v>0</v>
      </c>
    </row>
    <row r="31" spans="1:15" ht="12.3">
      <c r="A31" s="7">
        <v>30</v>
      </c>
      <c r="B31" s="15"/>
      <c r="C31" s="18"/>
      <c r="D31" t="s">
        <v>180</v>
      </c>
      <c r="E31" s="18"/>
      <c r="F31" s="18">
        <v>2</v>
      </c>
      <c r="G31" s="18">
        <v>9</v>
      </c>
      <c r="H31" s="18"/>
      <c r="I31" s="18"/>
      <c r="J31" s="18"/>
      <c r="K31" s="18"/>
      <c r="L31" s="18"/>
      <c r="M31" s="19"/>
      <c r="O31" s="1">
        <f t="shared" si="0"/>
        <v>33</v>
      </c>
    </row>
    <row r="32" spans="1:15" ht="61.5">
      <c r="A32" s="7">
        <v>31</v>
      </c>
      <c r="B32" s="15">
        <v>45991</v>
      </c>
      <c r="C32" s="18"/>
      <c r="D32" s="2" t="s">
        <v>28</v>
      </c>
      <c r="E32" s="18"/>
      <c r="F32" s="18"/>
      <c r="G32" s="18"/>
      <c r="H32" s="18"/>
      <c r="I32" s="18"/>
      <c r="J32" s="18"/>
      <c r="K32" s="18"/>
      <c r="L32" s="18"/>
      <c r="M32" s="28" t="s">
        <v>115</v>
      </c>
      <c r="O32" s="1">
        <f t="shared" si="0"/>
        <v>0</v>
      </c>
    </row>
    <row r="33" spans="1:13" ht="12.3">
      <c r="A33" s="7">
        <v>32</v>
      </c>
      <c r="B33" s="15"/>
      <c r="C33" s="18"/>
      <c r="D33" s="18"/>
      <c r="E33" s="18"/>
      <c r="F33" s="18"/>
      <c r="G33" s="18"/>
      <c r="H33" s="18"/>
      <c r="I33" s="18"/>
      <c r="J33" s="18"/>
      <c r="K33" s="18"/>
      <c r="L33" s="18"/>
      <c r="M33" s="19"/>
    </row>
    <row r="34" spans="1:13" ht="12.3">
      <c r="A34" s="7">
        <v>33</v>
      </c>
      <c r="B34" s="15"/>
      <c r="C34" s="18"/>
      <c r="D34" s="18"/>
      <c r="E34" s="18"/>
      <c r="F34" s="18"/>
      <c r="G34" s="18"/>
      <c r="H34" s="18"/>
      <c r="I34" s="18"/>
      <c r="J34" s="18"/>
      <c r="K34" s="18"/>
      <c r="L34" s="18"/>
      <c r="M34" s="19"/>
    </row>
    <row r="35" spans="1:13" ht="12.3">
      <c r="A35" s="7">
        <v>34</v>
      </c>
      <c r="B35" s="15"/>
      <c r="C35" s="18"/>
      <c r="D35" s="18"/>
      <c r="E35" s="18"/>
      <c r="F35" s="18"/>
      <c r="G35" s="18"/>
      <c r="H35" s="18"/>
      <c r="I35" s="18"/>
      <c r="J35" s="18"/>
      <c r="K35" s="18"/>
      <c r="L35" s="18"/>
      <c r="M35" s="19"/>
    </row>
    <row r="36" spans="1:13" ht="12.3">
      <c r="A36" s="7">
        <v>35</v>
      </c>
      <c r="B36" s="15"/>
      <c r="C36" s="18"/>
      <c r="D36" s="18"/>
      <c r="E36" s="18"/>
      <c r="F36" s="18"/>
      <c r="G36" s="18"/>
      <c r="H36" s="18"/>
      <c r="I36" s="18"/>
      <c r="J36" s="18"/>
      <c r="K36" s="18"/>
      <c r="L36" s="18"/>
      <c r="M36" s="19"/>
    </row>
    <row r="37" spans="1:13" ht="12.3">
      <c r="A37" s="7">
        <v>36</v>
      </c>
      <c r="B37" s="15"/>
      <c r="C37" s="18"/>
      <c r="D37" s="18"/>
      <c r="E37" s="18"/>
      <c r="F37" s="18"/>
      <c r="G37" s="18"/>
      <c r="H37" s="18"/>
      <c r="I37" s="18"/>
      <c r="J37" s="18"/>
      <c r="K37" s="18"/>
      <c r="L37" s="18"/>
      <c r="M37" s="19"/>
    </row>
    <row r="38" spans="1:13" ht="12.3">
      <c r="A38" s="4"/>
      <c r="B38" s="6"/>
      <c r="C38" s="11"/>
      <c r="D38" s="11"/>
      <c r="E38" s="11"/>
      <c r="F38" s="11"/>
      <c r="G38" s="30"/>
      <c r="H38" s="30">
        <f>SUM(H1:H37)</f>
        <v>1424.8</v>
      </c>
      <c r="I38" s="11"/>
      <c r="J38" s="11"/>
      <c r="K38" s="11"/>
      <c r="L38" s="11"/>
      <c r="M38" s="4"/>
    </row>
  </sheetData>
  <mergeCells count="1">
    <mergeCell ref="E8:E9"/>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M38"/>
  <sheetViews>
    <sheetView workbookViewId="0">
      <pane ySplit="1" topLeftCell="A17" activePane="bottomLeft" state="frozen"/>
      <selection pane="bottomLeft" activeCell="D31" sqref="D31"/>
    </sheetView>
  </sheetViews>
  <sheetFormatPr defaultColWidth="12.609375" defaultRowHeight="15" customHeight="1"/>
  <cols>
    <col min="1" max="1" width="2.88671875" customWidth="1"/>
    <col min="4" max="4" width="18.88671875" customWidth="1"/>
    <col min="13" max="13" width="20.71875" customWidth="1"/>
  </cols>
  <sheetData>
    <row r="1" spans="1:13" ht="15" customHeight="1">
      <c r="A1" s="4"/>
      <c r="B1" s="12" t="s">
        <v>29</v>
      </c>
      <c r="C1" s="8" t="s">
        <v>37</v>
      </c>
      <c r="D1" s="8" t="s">
        <v>36</v>
      </c>
      <c r="E1" s="13" t="s">
        <v>175</v>
      </c>
      <c r="F1" s="8" t="s">
        <v>176</v>
      </c>
      <c r="G1" s="13" t="s">
        <v>177</v>
      </c>
      <c r="H1" s="13" t="s">
        <v>178</v>
      </c>
      <c r="I1" s="13" t="s">
        <v>38</v>
      </c>
      <c r="J1" s="13" t="s">
        <v>32</v>
      </c>
      <c r="K1" s="13" t="s">
        <v>33</v>
      </c>
      <c r="L1" s="13" t="s">
        <v>34</v>
      </c>
      <c r="M1" s="14" t="s">
        <v>35</v>
      </c>
    </row>
    <row r="2" spans="1:13" ht="15" customHeight="1">
      <c r="A2" s="7">
        <v>1</v>
      </c>
      <c r="B2" s="15"/>
      <c r="C2" s="16"/>
      <c r="D2" s="18" t="str">
        <f>'112225'!D2</f>
        <v>RALPH BAKER 1</v>
      </c>
      <c r="E2" s="18"/>
      <c r="F2" s="24"/>
      <c r="G2" s="18"/>
      <c r="H2" s="18"/>
      <c r="I2" s="18"/>
      <c r="J2" s="18"/>
      <c r="K2" s="18"/>
      <c r="L2" s="18"/>
      <c r="M2" s="28" t="s">
        <v>116</v>
      </c>
    </row>
    <row r="3" spans="1:13" ht="15" customHeight="1">
      <c r="A3" s="20">
        <v>2</v>
      </c>
      <c r="B3" s="15">
        <v>45992</v>
      </c>
      <c r="C3" s="21"/>
      <c r="D3" s="18" t="str">
        <f>'112225'!D3</f>
        <v>SALLY 1-12H</v>
      </c>
      <c r="E3" s="23"/>
      <c r="F3" s="24"/>
      <c r="G3" s="24"/>
      <c r="H3" s="24">
        <v>22</v>
      </c>
      <c r="I3" s="24">
        <v>0</v>
      </c>
      <c r="J3" s="24"/>
      <c r="K3" s="24"/>
      <c r="L3" s="24">
        <v>35</v>
      </c>
      <c r="M3" s="25" t="s">
        <v>39</v>
      </c>
    </row>
    <row r="4" spans="1:13" ht="15" customHeight="1">
      <c r="A4" s="20">
        <v>3</v>
      </c>
      <c r="B4" s="15">
        <v>45992</v>
      </c>
      <c r="C4" s="21"/>
      <c r="D4" s="18" t="str">
        <f>'112225'!D4</f>
        <v>ANITA 1-13H</v>
      </c>
      <c r="E4" s="24"/>
      <c r="F4" s="24"/>
      <c r="G4" s="24"/>
      <c r="H4" s="24">
        <v>120</v>
      </c>
      <c r="I4" s="24">
        <v>96</v>
      </c>
      <c r="J4" s="24"/>
      <c r="K4" s="24"/>
      <c r="L4" s="24">
        <v>42</v>
      </c>
      <c r="M4" s="25" t="s">
        <v>39</v>
      </c>
    </row>
    <row r="5" spans="1:13" ht="15" customHeight="1">
      <c r="A5" s="7">
        <v>4</v>
      </c>
      <c r="B5" s="15">
        <v>45992</v>
      </c>
      <c r="C5" s="16"/>
      <c r="D5" s="18" t="str">
        <f>'112225'!D5</f>
        <v>ARIANA 1-18H</v>
      </c>
      <c r="E5" s="18"/>
      <c r="F5" s="18"/>
      <c r="G5" s="18"/>
      <c r="H5" s="18">
        <v>24</v>
      </c>
      <c r="I5" s="18">
        <v>120</v>
      </c>
      <c r="J5" s="18"/>
      <c r="K5" s="18"/>
      <c r="L5" s="18">
        <v>40</v>
      </c>
      <c r="M5" s="25" t="s">
        <v>39</v>
      </c>
    </row>
    <row r="6" spans="1:13" ht="15" customHeight="1">
      <c r="A6" s="7">
        <v>5</v>
      </c>
      <c r="B6" s="15">
        <v>45992</v>
      </c>
      <c r="C6" s="16"/>
      <c r="D6" s="18" t="str">
        <f>'112225'!D6</f>
        <v>CLAY 1-6H</v>
      </c>
      <c r="E6" s="18"/>
      <c r="F6" s="18"/>
      <c r="G6" s="18"/>
      <c r="H6" s="18">
        <v>79</v>
      </c>
      <c r="I6" s="18">
        <v>98</v>
      </c>
      <c r="J6" s="18"/>
      <c r="K6" s="18"/>
      <c r="L6" s="18">
        <v>37</v>
      </c>
      <c r="M6" s="25" t="s">
        <v>39</v>
      </c>
    </row>
    <row r="7" spans="1:13" ht="15" customHeight="1">
      <c r="A7" s="7">
        <v>6</v>
      </c>
      <c r="B7" s="15">
        <v>45992</v>
      </c>
      <c r="C7" s="16"/>
      <c r="D7" s="18" t="str">
        <f>'112225'!D7</f>
        <v>ARIANA 1-7H</v>
      </c>
      <c r="E7" s="18"/>
      <c r="F7" s="18"/>
      <c r="G7" s="18"/>
      <c r="H7" s="18">
        <v>34</v>
      </c>
      <c r="I7" s="18">
        <v>217</v>
      </c>
      <c r="J7" s="18"/>
      <c r="K7" s="18"/>
      <c r="L7" s="18">
        <v>36</v>
      </c>
      <c r="M7" s="25" t="s">
        <v>39</v>
      </c>
    </row>
    <row r="8" spans="1:13" ht="15" customHeight="1">
      <c r="A8" s="7">
        <v>7</v>
      </c>
      <c r="B8" s="15">
        <v>45992</v>
      </c>
      <c r="C8" s="16"/>
      <c r="D8" s="18" t="str">
        <f>'112225'!D8</f>
        <v>PEPPER 3-4H</v>
      </c>
      <c r="E8" s="49"/>
      <c r="F8" s="18"/>
      <c r="G8" s="18"/>
      <c r="H8" s="18">
        <v>65</v>
      </c>
      <c r="I8" s="18">
        <v>80</v>
      </c>
      <c r="J8" s="18"/>
      <c r="K8" s="18"/>
      <c r="L8" s="18">
        <v>32</v>
      </c>
      <c r="M8" s="25" t="s">
        <v>39</v>
      </c>
    </row>
    <row r="9" spans="1:13" ht="15" customHeight="1">
      <c r="A9" s="7">
        <v>8</v>
      </c>
      <c r="B9" s="15"/>
      <c r="C9" s="16"/>
      <c r="D9" s="18" t="str">
        <f>'112225'!D9</f>
        <v>PEPPER 4-4H</v>
      </c>
      <c r="E9" s="50"/>
      <c r="F9" s="18"/>
      <c r="G9" s="18"/>
      <c r="H9" s="18"/>
      <c r="I9" s="18"/>
      <c r="J9" s="18"/>
      <c r="K9" s="18"/>
      <c r="L9" s="18"/>
      <c r="M9" s="25" t="s">
        <v>39</v>
      </c>
    </row>
    <row r="10" spans="1:13" ht="15" customHeight="1">
      <c r="A10" s="20">
        <v>9</v>
      </c>
      <c r="B10" s="15">
        <v>45992</v>
      </c>
      <c r="C10" s="21"/>
      <c r="D10" s="18" t="str">
        <f>'112225'!D10</f>
        <v>BIRD 3319 1-6</v>
      </c>
      <c r="E10" s="23"/>
      <c r="F10" s="24"/>
      <c r="G10" s="24"/>
      <c r="H10" s="24">
        <v>0</v>
      </c>
      <c r="I10" s="24">
        <v>0</v>
      </c>
      <c r="J10" s="24"/>
      <c r="K10" s="24"/>
      <c r="L10" s="24">
        <v>33</v>
      </c>
      <c r="M10" s="25" t="s">
        <v>39</v>
      </c>
    </row>
    <row r="11" spans="1:13" ht="15" customHeight="1">
      <c r="A11" s="7">
        <v>10</v>
      </c>
      <c r="B11" s="15">
        <v>45992</v>
      </c>
      <c r="C11" s="16"/>
      <c r="D11" s="18" t="str">
        <f>'112225'!D11</f>
        <v>BIRD 3319 3-6</v>
      </c>
      <c r="E11" s="18"/>
      <c r="F11" s="18"/>
      <c r="G11" s="18"/>
      <c r="H11" s="18">
        <v>36</v>
      </c>
      <c r="I11" s="18">
        <v>0</v>
      </c>
      <c r="J11" s="18"/>
      <c r="K11" s="18"/>
      <c r="L11" s="18">
        <v>18</v>
      </c>
      <c r="M11" s="19" t="s">
        <v>117</v>
      </c>
    </row>
    <row r="12" spans="1:13" ht="15" customHeight="1">
      <c r="A12" s="7">
        <v>11</v>
      </c>
      <c r="B12" s="15"/>
      <c r="C12" s="16"/>
      <c r="D12" s="18" t="str">
        <f>'112225'!D12</f>
        <v>JELLISON A 11-5</v>
      </c>
      <c r="E12" s="18"/>
      <c r="F12" s="18"/>
      <c r="G12" s="18"/>
      <c r="H12" s="18">
        <v>4</v>
      </c>
      <c r="I12" s="18"/>
      <c r="J12" s="18"/>
      <c r="K12" s="18"/>
      <c r="L12" s="18"/>
      <c r="M12" s="25" t="s">
        <v>39</v>
      </c>
    </row>
    <row r="13" spans="1:13" ht="15" customHeight="1">
      <c r="A13" s="20">
        <v>12</v>
      </c>
      <c r="B13" s="15">
        <v>45992</v>
      </c>
      <c r="C13" s="21"/>
      <c r="D13" s="18" t="str">
        <f>'112225'!D13</f>
        <v>ROCK 3319 1-16H</v>
      </c>
      <c r="E13" s="24"/>
      <c r="F13" s="24"/>
      <c r="G13" s="24"/>
      <c r="H13" s="24">
        <v>72</v>
      </c>
      <c r="I13" s="24">
        <v>158</v>
      </c>
      <c r="J13" s="24"/>
      <c r="K13" s="24"/>
      <c r="L13" s="24">
        <v>32</v>
      </c>
      <c r="M13" s="25" t="s">
        <v>39</v>
      </c>
    </row>
    <row r="14" spans="1:13" ht="15" customHeight="1">
      <c r="A14" s="7">
        <v>13</v>
      </c>
      <c r="B14" s="15">
        <v>45992</v>
      </c>
      <c r="C14" s="16"/>
      <c r="D14" s="18" t="str">
        <f>'112225'!D14</f>
        <v>Dixie 3120 1‐25 SWD</v>
      </c>
      <c r="E14" s="18"/>
      <c r="F14" s="18"/>
      <c r="G14" s="18"/>
      <c r="H14" s="18"/>
      <c r="I14" s="18"/>
      <c r="J14" s="18"/>
      <c r="K14" s="18"/>
      <c r="L14" s="18"/>
      <c r="M14" s="19" t="s">
        <v>118</v>
      </c>
    </row>
    <row r="15" spans="1:13" ht="15" customHeight="1">
      <c r="A15" s="7">
        <v>14</v>
      </c>
      <c r="B15" s="15">
        <v>45992</v>
      </c>
      <c r="C15" s="16"/>
      <c r="D15" s="18" t="str">
        <f>'112225'!D15</f>
        <v>GARLAND 1-26H</v>
      </c>
      <c r="E15" s="18">
        <v>2</v>
      </c>
      <c r="F15" s="18">
        <v>3</v>
      </c>
      <c r="G15" s="18">
        <v>4</v>
      </c>
      <c r="H15" s="18">
        <v>46</v>
      </c>
      <c r="I15" s="18">
        <v>0</v>
      </c>
      <c r="J15" s="18"/>
      <c r="K15" s="18"/>
      <c r="L15" s="18">
        <v>71</v>
      </c>
      <c r="M15" s="28" t="s">
        <v>119</v>
      </c>
    </row>
    <row r="16" spans="1:13" ht="15" customHeight="1">
      <c r="A16" s="7">
        <v>15</v>
      </c>
      <c r="B16" s="15">
        <v>45992</v>
      </c>
      <c r="C16" s="16"/>
      <c r="D16" s="18" t="str">
        <f>'112225'!D16</f>
        <v>PTL 1-15H</v>
      </c>
      <c r="E16" s="18"/>
      <c r="F16" s="18"/>
      <c r="G16" s="18"/>
      <c r="H16" s="18">
        <v>61</v>
      </c>
      <c r="I16" s="18">
        <v>65</v>
      </c>
      <c r="J16" s="18"/>
      <c r="K16" s="18"/>
      <c r="L16" s="18">
        <v>58</v>
      </c>
      <c r="M16" s="25" t="s">
        <v>39</v>
      </c>
    </row>
    <row r="17" spans="1:13" ht="15" customHeight="1">
      <c r="A17" s="7">
        <v>16</v>
      </c>
      <c r="B17" s="15">
        <v>45992</v>
      </c>
      <c r="C17" s="16"/>
      <c r="D17" s="18" t="str">
        <f>'112225'!D17</f>
        <v>GABRIEL 2-12H</v>
      </c>
      <c r="E17" s="18"/>
      <c r="F17" s="18"/>
      <c r="G17" s="18"/>
      <c r="H17" s="18">
        <v>59</v>
      </c>
      <c r="I17" s="18">
        <v>46</v>
      </c>
      <c r="J17" s="18"/>
      <c r="K17" s="18"/>
      <c r="L17" s="18">
        <v>58</v>
      </c>
      <c r="M17" s="25" t="s">
        <v>39</v>
      </c>
    </row>
    <row r="18" spans="1:13" ht="15" customHeight="1">
      <c r="A18" s="7">
        <v>17</v>
      </c>
      <c r="B18" s="15">
        <v>45992</v>
      </c>
      <c r="C18" s="16"/>
      <c r="D18" s="18" t="str">
        <f>'112225'!D18</f>
        <v>GABRIEL 1-12H</v>
      </c>
      <c r="E18" s="18"/>
      <c r="F18" s="18"/>
      <c r="G18" s="18"/>
      <c r="H18" s="18">
        <v>43</v>
      </c>
      <c r="I18" s="18">
        <v>11</v>
      </c>
      <c r="J18" s="18"/>
      <c r="K18" s="18"/>
      <c r="L18" s="18">
        <v>57</v>
      </c>
      <c r="M18" s="25" t="s">
        <v>39</v>
      </c>
    </row>
    <row r="19" spans="1:13" ht="15" customHeight="1">
      <c r="A19" s="7">
        <v>18</v>
      </c>
      <c r="B19" s="15">
        <v>45992</v>
      </c>
      <c r="C19" s="16"/>
      <c r="D19" s="18" t="str">
        <f>'112225'!D19</f>
        <v>SEAN 1-18H</v>
      </c>
      <c r="E19" s="18"/>
      <c r="F19" s="18"/>
      <c r="G19" s="18"/>
      <c r="H19" s="18">
        <v>46</v>
      </c>
      <c r="I19" s="18">
        <v>23</v>
      </c>
      <c r="J19" s="18"/>
      <c r="K19" s="18"/>
      <c r="L19" s="18">
        <v>57</v>
      </c>
      <c r="M19" s="25" t="s">
        <v>39</v>
      </c>
    </row>
    <row r="20" spans="1:13" ht="15" customHeight="1">
      <c r="A20" s="7">
        <v>19</v>
      </c>
      <c r="B20" s="15">
        <v>45992</v>
      </c>
      <c r="C20" s="16"/>
      <c r="D20" s="18" t="str">
        <f>'112225'!D20</f>
        <v>SEAN 3119 3-18H</v>
      </c>
      <c r="E20" s="18"/>
      <c r="F20" s="18"/>
      <c r="G20" s="18"/>
      <c r="H20" s="18">
        <v>40</v>
      </c>
      <c r="I20" s="18">
        <v>159</v>
      </c>
      <c r="J20" s="18"/>
      <c r="K20" s="18"/>
      <c r="L20" s="18">
        <v>59</v>
      </c>
      <c r="M20" s="25" t="s">
        <v>39</v>
      </c>
    </row>
    <row r="21" spans="1:13" ht="15" customHeight="1">
      <c r="A21" s="7">
        <v>20</v>
      </c>
      <c r="B21" s="15">
        <v>45992</v>
      </c>
      <c r="C21" s="16"/>
      <c r="D21" s="18" t="str">
        <f>'112225'!D21</f>
        <v>ELLIS 2-19H</v>
      </c>
      <c r="E21" s="18"/>
      <c r="F21" s="18"/>
      <c r="G21" s="18"/>
      <c r="H21" s="18">
        <v>0</v>
      </c>
      <c r="I21" s="18">
        <v>107</v>
      </c>
      <c r="J21" s="18"/>
      <c r="K21" s="18"/>
      <c r="L21" s="18">
        <v>51</v>
      </c>
      <c r="M21" s="25" t="s">
        <v>39</v>
      </c>
    </row>
    <row r="22" spans="1:13" ht="15" customHeight="1">
      <c r="A22" s="7">
        <v>21</v>
      </c>
      <c r="B22" s="15">
        <v>45992</v>
      </c>
      <c r="C22" s="16"/>
      <c r="D22" s="18" t="str">
        <f>'112225'!D22</f>
        <v>BROTHERS 1-6H</v>
      </c>
      <c r="E22" s="18"/>
      <c r="F22" s="18"/>
      <c r="G22" s="18"/>
      <c r="H22" s="18">
        <v>74</v>
      </c>
      <c r="I22" s="18">
        <v>21</v>
      </c>
      <c r="J22" s="18"/>
      <c r="K22" s="18"/>
      <c r="L22" s="18">
        <v>71</v>
      </c>
      <c r="M22" s="25" t="s">
        <v>39</v>
      </c>
    </row>
    <row r="23" spans="1:13" ht="15" customHeight="1">
      <c r="A23" s="7">
        <v>22</v>
      </c>
      <c r="B23" s="15">
        <v>45992</v>
      </c>
      <c r="C23" s="16"/>
      <c r="D23" s="18" t="str">
        <f>'112225'!D23</f>
        <v>BROTHERS 2-6H</v>
      </c>
      <c r="E23" s="18"/>
      <c r="F23" s="18"/>
      <c r="G23" s="18"/>
      <c r="H23" s="18">
        <v>112</v>
      </c>
      <c r="I23" s="18">
        <v>98</v>
      </c>
      <c r="J23" s="18"/>
      <c r="K23" s="18"/>
      <c r="L23" s="18">
        <v>89</v>
      </c>
      <c r="M23" s="25" t="s">
        <v>39</v>
      </c>
    </row>
    <row r="24" spans="1:13" ht="15" customHeight="1">
      <c r="A24" s="20">
        <v>23</v>
      </c>
      <c r="B24" s="15">
        <v>45992</v>
      </c>
      <c r="C24" s="21"/>
      <c r="D24" s="18" t="str">
        <f>'112225'!D24</f>
        <v>SARAH 1-34H</v>
      </c>
      <c r="E24" s="23"/>
      <c r="F24" s="24"/>
      <c r="G24" s="24"/>
      <c r="H24" s="24">
        <v>27</v>
      </c>
      <c r="I24" s="24">
        <v>14</v>
      </c>
      <c r="J24" s="24"/>
      <c r="K24" s="24"/>
      <c r="L24" s="24">
        <v>57</v>
      </c>
      <c r="M24" s="27" t="s">
        <v>120</v>
      </c>
    </row>
    <row r="25" spans="1:13" ht="15" customHeight="1">
      <c r="A25" s="20">
        <v>24</v>
      </c>
      <c r="B25" s="15">
        <v>45992</v>
      </c>
      <c r="C25" s="21"/>
      <c r="D25" s="18" t="str">
        <f>'112225'!D25</f>
        <v>SARAH 2-34H</v>
      </c>
      <c r="E25" s="23"/>
      <c r="F25" s="24"/>
      <c r="G25" s="24"/>
      <c r="H25" s="24">
        <v>40</v>
      </c>
      <c r="I25" s="24">
        <v>51</v>
      </c>
      <c r="J25" s="24"/>
      <c r="K25" s="24"/>
      <c r="L25" s="24">
        <v>58</v>
      </c>
      <c r="M25" s="25" t="s">
        <v>39</v>
      </c>
    </row>
    <row r="26" spans="1:13" ht="15" customHeight="1">
      <c r="A26" s="7">
        <v>25</v>
      </c>
      <c r="B26" s="15">
        <v>45992</v>
      </c>
      <c r="C26" s="16"/>
      <c r="D26" s="18" t="str">
        <f>'112225'!D26</f>
        <v>WANDA 1-2H 1L</v>
      </c>
      <c r="E26" s="5"/>
      <c r="F26" s="18"/>
      <c r="G26" s="18"/>
      <c r="H26" s="18">
        <v>256</v>
      </c>
      <c r="I26" s="18">
        <v>230</v>
      </c>
      <c r="J26" s="18"/>
      <c r="K26" s="18"/>
      <c r="L26" s="18">
        <v>51</v>
      </c>
      <c r="M26" s="25" t="s">
        <v>39</v>
      </c>
    </row>
    <row r="27" spans="1:13" ht="15" customHeight="1">
      <c r="A27" s="7">
        <v>26</v>
      </c>
      <c r="B27" s="15">
        <v>45992</v>
      </c>
      <c r="C27" s="35"/>
      <c r="D27" s="18" t="str">
        <f>'112225'!D27</f>
        <v>Yankee 3317 1-27 SWD</v>
      </c>
      <c r="E27" s="18"/>
      <c r="F27" s="18"/>
      <c r="G27" s="18"/>
      <c r="H27" s="36"/>
      <c r="I27" s="36"/>
      <c r="J27" s="36"/>
      <c r="K27" s="36"/>
      <c r="L27" s="36"/>
      <c r="M27" s="19" t="s">
        <v>121</v>
      </c>
    </row>
    <row r="28" spans="1:13" ht="15" customHeight="1">
      <c r="A28" s="7">
        <v>27</v>
      </c>
      <c r="B28" s="15"/>
      <c r="C28" s="18"/>
      <c r="D28" s="18" t="s">
        <v>179</v>
      </c>
      <c r="E28" s="18"/>
      <c r="F28" s="18"/>
      <c r="G28" s="18"/>
      <c r="H28" s="18"/>
      <c r="I28" s="18"/>
      <c r="J28" s="18"/>
      <c r="K28" s="18"/>
      <c r="L28" s="18"/>
      <c r="M28" s="28"/>
    </row>
    <row r="29" spans="1:13" ht="12.3">
      <c r="A29" s="7">
        <v>28</v>
      </c>
      <c r="B29" s="15"/>
      <c r="C29" s="18"/>
      <c r="D29" s="18" t="s">
        <v>77</v>
      </c>
      <c r="E29" s="18"/>
      <c r="F29" s="18"/>
      <c r="G29" s="18"/>
      <c r="H29" s="18"/>
      <c r="I29" s="18"/>
      <c r="J29" s="18"/>
      <c r="K29" s="18"/>
      <c r="L29" s="18"/>
      <c r="M29" s="28"/>
    </row>
    <row r="30" spans="1:13" ht="12.3">
      <c r="A30" s="7">
        <v>29</v>
      </c>
      <c r="B30" s="15"/>
      <c r="C30" s="18"/>
      <c r="D30" s="37" t="s">
        <v>1</v>
      </c>
      <c r="E30" s="18"/>
      <c r="F30" s="18"/>
      <c r="G30" s="18"/>
      <c r="H30" s="18"/>
      <c r="I30" s="18"/>
      <c r="J30" s="18"/>
      <c r="K30" s="18"/>
      <c r="L30" s="18"/>
      <c r="M30" s="28"/>
    </row>
    <row r="31" spans="1:13" ht="12.3">
      <c r="A31" s="7">
        <v>30</v>
      </c>
      <c r="B31" s="15"/>
      <c r="C31" s="18"/>
      <c r="D31" t="s">
        <v>180</v>
      </c>
      <c r="E31" s="18"/>
      <c r="F31" s="18"/>
      <c r="G31" s="18"/>
      <c r="H31" s="18"/>
      <c r="I31" s="18"/>
      <c r="J31" s="18"/>
      <c r="K31" s="18"/>
      <c r="L31" s="18"/>
      <c r="M31" s="19"/>
    </row>
    <row r="32" spans="1:13" ht="12.3">
      <c r="A32" s="7">
        <v>31</v>
      </c>
      <c r="B32" s="15"/>
      <c r="C32" s="18"/>
      <c r="D32" s="2" t="s">
        <v>28</v>
      </c>
      <c r="E32" s="18"/>
      <c r="F32" s="18"/>
      <c r="G32" s="18"/>
      <c r="H32" s="18"/>
      <c r="I32" s="18"/>
      <c r="J32" s="18"/>
      <c r="K32" s="18"/>
      <c r="L32" s="18"/>
      <c r="M32" s="28"/>
    </row>
    <row r="33" spans="1:13" ht="12.3">
      <c r="A33" s="7">
        <v>32</v>
      </c>
      <c r="B33" s="15"/>
      <c r="C33" s="18"/>
      <c r="D33" s="18"/>
      <c r="E33" s="18"/>
      <c r="F33" s="18"/>
      <c r="G33" s="18"/>
      <c r="H33" s="18"/>
      <c r="I33" s="18"/>
      <c r="J33" s="18"/>
      <c r="K33" s="18"/>
      <c r="L33" s="18"/>
      <c r="M33" s="19"/>
    </row>
    <row r="34" spans="1:13" ht="12.3">
      <c r="A34" s="7">
        <v>33</v>
      </c>
      <c r="B34" s="15"/>
      <c r="C34" s="18"/>
      <c r="D34" s="18"/>
      <c r="E34" s="18"/>
      <c r="F34" s="18"/>
      <c r="G34" s="18"/>
      <c r="H34" s="18"/>
      <c r="I34" s="18"/>
      <c r="J34" s="18"/>
      <c r="K34" s="18"/>
      <c r="L34" s="18"/>
      <c r="M34" s="19"/>
    </row>
    <row r="35" spans="1:13" ht="12.3">
      <c r="A35" s="7">
        <v>34</v>
      </c>
      <c r="B35" s="15"/>
      <c r="C35" s="18"/>
      <c r="D35" s="18"/>
      <c r="E35" s="18"/>
      <c r="F35" s="18"/>
      <c r="G35" s="18"/>
      <c r="H35" s="18"/>
      <c r="I35" s="18"/>
      <c r="J35" s="18"/>
      <c r="K35" s="18"/>
      <c r="L35" s="18"/>
      <c r="M35" s="19"/>
    </row>
    <row r="36" spans="1:13" ht="12.3">
      <c r="A36" s="7">
        <v>35</v>
      </c>
      <c r="B36" s="15"/>
      <c r="C36" s="18"/>
      <c r="D36" s="18"/>
      <c r="E36" s="18"/>
      <c r="F36" s="18"/>
      <c r="G36" s="18"/>
      <c r="H36" s="18"/>
      <c r="I36" s="18"/>
      <c r="J36" s="18"/>
      <c r="K36" s="18"/>
      <c r="L36" s="18"/>
      <c r="M36" s="19"/>
    </row>
    <row r="37" spans="1:13" ht="12.3">
      <c r="A37" s="7">
        <v>36</v>
      </c>
      <c r="B37" s="15"/>
      <c r="C37" s="18"/>
      <c r="D37" s="18"/>
      <c r="E37" s="18"/>
      <c r="F37" s="18"/>
      <c r="G37" s="18"/>
      <c r="H37" s="18"/>
      <c r="I37" s="18"/>
      <c r="J37" s="18"/>
      <c r="K37" s="18"/>
      <c r="L37" s="18"/>
      <c r="M37" s="19"/>
    </row>
    <row r="38" spans="1:13" ht="12.3">
      <c r="A38" s="4"/>
      <c r="B38" s="6"/>
      <c r="C38" s="11"/>
      <c r="D38" s="11"/>
      <c r="E38" s="11"/>
      <c r="F38" s="11"/>
      <c r="G38" s="30"/>
      <c r="H38" s="30">
        <f>SUM(H1:H37)</f>
        <v>1260</v>
      </c>
      <c r="I38" s="11"/>
      <c r="J38" s="11"/>
      <c r="K38" s="11"/>
      <c r="L38" s="11"/>
      <c r="M38" s="4"/>
    </row>
  </sheetData>
  <mergeCells count="1">
    <mergeCell ref="E8:E9"/>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M39"/>
  <sheetViews>
    <sheetView workbookViewId="0">
      <pane ySplit="1" topLeftCell="A17" activePane="bottomLeft" state="frozen"/>
      <selection pane="bottomLeft" activeCell="D31" sqref="D31"/>
    </sheetView>
  </sheetViews>
  <sheetFormatPr defaultColWidth="12.609375" defaultRowHeight="15" customHeight="1"/>
  <cols>
    <col min="1" max="1" width="2.88671875" customWidth="1"/>
    <col min="4" max="4" width="18.88671875" customWidth="1"/>
    <col min="13" max="13" width="26.88671875" customWidth="1"/>
  </cols>
  <sheetData>
    <row r="1" spans="1:13" ht="15" customHeight="1">
      <c r="A1" s="4"/>
      <c r="B1" s="12" t="s">
        <v>29</v>
      </c>
      <c r="C1" s="8" t="s">
        <v>37</v>
      </c>
      <c r="D1" s="8" t="s">
        <v>36</v>
      </c>
      <c r="E1" s="13" t="s">
        <v>175</v>
      </c>
      <c r="F1" s="8" t="s">
        <v>176</v>
      </c>
      <c r="G1" s="13" t="s">
        <v>177</v>
      </c>
      <c r="H1" s="13" t="s">
        <v>178</v>
      </c>
      <c r="I1" s="13" t="s">
        <v>38</v>
      </c>
      <c r="J1" s="13" t="s">
        <v>32</v>
      </c>
      <c r="K1" s="13" t="s">
        <v>33</v>
      </c>
      <c r="L1" s="13" t="s">
        <v>34</v>
      </c>
      <c r="M1" s="14" t="s">
        <v>35</v>
      </c>
    </row>
    <row r="2" spans="1:13" ht="15" customHeight="1">
      <c r="A2" s="7">
        <v>1</v>
      </c>
      <c r="B2" s="15">
        <v>45993</v>
      </c>
      <c r="C2" s="16">
        <v>0.33333333333333331</v>
      </c>
      <c r="D2" s="18" t="str">
        <f>'112225'!D2</f>
        <v>RALPH BAKER 1</v>
      </c>
      <c r="E2" s="18"/>
      <c r="F2" s="24">
        <v>4</v>
      </c>
      <c r="G2" s="18">
        <v>1.5</v>
      </c>
      <c r="H2" s="18"/>
      <c r="I2" s="18"/>
      <c r="J2" s="18"/>
      <c r="K2" s="18"/>
      <c r="L2" s="18"/>
      <c r="M2" s="28" t="s">
        <v>122</v>
      </c>
    </row>
    <row r="3" spans="1:13" ht="15" customHeight="1">
      <c r="A3" s="20">
        <v>2</v>
      </c>
      <c r="B3" s="15">
        <v>45993</v>
      </c>
      <c r="C3" s="21">
        <v>0.34375</v>
      </c>
      <c r="D3" s="18" t="str">
        <f>'112225'!D3</f>
        <v>SALLY 1-12H</v>
      </c>
      <c r="E3" s="23">
        <v>1</v>
      </c>
      <c r="F3" s="24">
        <v>2</v>
      </c>
      <c r="G3" s="24">
        <v>11</v>
      </c>
      <c r="H3" s="24">
        <v>5</v>
      </c>
      <c r="I3" s="24">
        <v>0</v>
      </c>
      <c r="J3" s="24"/>
      <c r="K3" s="24"/>
      <c r="L3" s="24">
        <v>34</v>
      </c>
      <c r="M3" s="27" t="s">
        <v>123</v>
      </c>
    </row>
    <row r="4" spans="1:13" ht="15" customHeight="1">
      <c r="A4" s="20">
        <v>3</v>
      </c>
      <c r="B4" s="15">
        <v>45993</v>
      </c>
      <c r="C4" s="21">
        <v>0.36805555555555558</v>
      </c>
      <c r="D4" s="18" t="str">
        <f>'112225'!D4</f>
        <v>ANITA 1-13H</v>
      </c>
      <c r="E4" s="24">
        <v>2</v>
      </c>
      <c r="F4" s="24">
        <v>1</v>
      </c>
      <c r="G4" s="24">
        <v>0</v>
      </c>
      <c r="H4" s="24">
        <v>155</v>
      </c>
      <c r="I4" s="24">
        <v>58</v>
      </c>
      <c r="J4" s="24"/>
      <c r="K4" s="24"/>
      <c r="L4" s="24">
        <v>41</v>
      </c>
      <c r="M4" s="27" t="s">
        <v>39</v>
      </c>
    </row>
    <row r="5" spans="1:13" ht="15" customHeight="1">
      <c r="A5" s="7">
        <v>4</v>
      </c>
      <c r="B5" s="15">
        <v>45993</v>
      </c>
      <c r="C5" s="16">
        <v>0.36458333333333331</v>
      </c>
      <c r="D5" s="18" t="str">
        <f>'112225'!D5</f>
        <v>ARIANA 1-18H</v>
      </c>
      <c r="E5" s="18">
        <v>1</v>
      </c>
      <c r="F5" s="18">
        <v>2</v>
      </c>
      <c r="G5" s="18">
        <v>3</v>
      </c>
      <c r="H5" s="18">
        <v>150</v>
      </c>
      <c r="I5" s="18">
        <v>140</v>
      </c>
      <c r="J5" s="18"/>
      <c r="K5" s="18"/>
      <c r="L5" s="18">
        <v>42</v>
      </c>
      <c r="M5" s="19" t="s">
        <v>39</v>
      </c>
    </row>
    <row r="6" spans="1:13" ht="15" customHeight="1">
      <c r="A6" s="7">
        <v>5</v>
      </c>
      <c r="B6" s="15">
        <v>45993</v>
      </c>
      <c r="C6" s="16">
        <v>0.375</v>
      </c>
      <c r="D6" s="18" t="str">
        <f>'112225'!D6</f>
        <v>CLAY 1-6H</v>
      </c>
      <c r="E6" s="18">
        <v>1</v>
      </c>
      <c r="F6" s="18">
        <v>3</v>
      </c>
      <c r="G6" s="18">
        <v>1</v>
      </c>
      <c r="H6" s="18">
        <v>277</v>
      </c>
      <c r="I6" s="18">
        <v>230</v>
      </c>
      <c r="J6" s="18"/>
      <c r="K6" s="18"/>
      <c r="L6" s="18">
        <v>37</v>
      </c>
      <c r="M6" s="28" t="s">
        <v>39</v>
      </c>
    </row>
    <row r="7" spans="1:13" ht="15" customHeight="1">
      <c r="A7" s="7">
        <v>6</v>
      </c>
      <c r="B7" s="15">
        <v>45993</v>
      </c>
      <c r="C7" s="16">
        <v>0.38541666666666669</v>
      </c>
      <c r="D7" s="18" t="str">
        <f>'112225'!D7</f>
        <v>ARIANA 1-7H</v>
      </c>
      <c r="E7" s="18">
        <v>1</v>
      </c>
      <c r="F7" s="18">
        <v>2</v>
      </c>
      <c r="G7" s="18">
        <v>0</v>
      </c>
      <c r="H7" s="18">
        <v>194</v>
      </c>
      <c r="I7" s="18">
        <v>0</v>
      </c>
      <c r="J7" s="18"/>
      <c r="K7" s="18"/>
      <c r="L7" s="18">
        <v>37</v>
      </c>
      <c r="M7" s="28" t="s">
        <v>39</v>
      </c>
    </row>
    <row r="8" spans="1:13" ht="15" customHeight="1">
      <c r="A8" s="7">
        <v>7</v>
      </c>
      <c r="B8" s="15">
        <v>45993</v>
      </c>
      <c r="C8" s="16">
        <v>0.40625</v>
      </c>
      <c r="D8" s="18" t="str">
        <f>'112225'!D8</f>
        <v>PEPPER 3-4H</v>
      </c>
      <c r="E8" s="49">
        <v>1</v>
      </c>
      <c r="F8" s="18">
        <v>2</v>
      </c>
      <c r="G8" s="18">
        <v>0</v>
      </c>
      <c r="H8" s="18">
        <v>57</v>
      </c>
      <c r="I8" s="18">
        <v>67</v>
      </c>
      <c r="J8" s="18"/>
      <c r="K8" s="18"/>
      <c r="L8" s="18">
        <v>31</v>
      </c>
      <c r="M8" s="28" t="s">
        <v>39</v>
      </c>
    </row>
    <row r="9" spans="1:13" ht="15" customHeight="1">
      <c r="A9" s="7">
        <v>8</v>
      </c>
      <c r="B9" s="15">
        <v>45993</v>
      </c>
      <c r="C9" s="16"/>
      <c r="D9" s="18" t="str">
        <f>'112225'!D9</f>
        <v>PEPPER 4-4H</v>
      </c>
      <c r="E9" s="50"/>
      <c r="F9" s="18"/>
      <c r="G9" s="18"/>
      <c r="H9" s="18"/>
      <c r="I9" s="18"/>
      <c r="J9" s="18"/>
      <c r="K9" s="18"/>
      <c r="L9" s="18"/>
      <c r="M9" s="28" t="s">
        <v>124</v>
      </c>
    </row>
    <row r="10" spans="1:13" ht="15" customHeight="1">
      <c r="A10" s="20">
        <v>9</v>
      </c>
      <c r="B10" s="15">
        <v>45993</v>
      </c>
      <c r="C10" s="21"/>
      <c r="D10" s="18" t="str">
        <f>'112225'!D10</f>
        <v>BIRD 3319 1-6</v>
      </c>
      <c r="E10" s="23"/>
      <c r="F10" s="24">
        <v>2</v>
      </c>
      <c r="G10" s="24">
        <v>2</v>
      </c>
      <c r="H10" s="24">
        <v>0</v>
      </c>
      <c r="I10" s="24">
        <v>0</v>
      </c>
      <c r="J10" s="24"/>
      <c r="K10" s="24"/>
      <c r="L10" s="24">
        <v>34</v>
      </c>
      <c r="M10" s="28" t="s">
        <v>125</v>
      </c>
    </row>
    <row r="11" spans="1:13" ht="15" customHeight="1">
      <c r="A11" s="7">
        <v>10</v>
      </c>
      <c r="B11" s="15">
        <v>45993</v>
      </c>
      <c r="C11" s="16"/>
      <c r="D11" s="18" t="str">
        <f>'112225'!D11</f>
        <v>BIRD 3319 3-6</v>
      </c>
      <c r="E11" s="18"/>
      <c r="F11" s="18"/>
      <c r="G11" s="18"/>
      <c r="H11" s="18">
        <v>36</v>
      </c>
      <c r="I11" s="18">
        <v>0</v>
      </c>
      <c r="J11" s="18"/>
      <c r="K11" s="18"/>
      <c r="L11" s="18">
        <v>18</v>
      </c>
      <c r="M11" s="19" t="s">
        <v>126</v>
      </c>
    </row>
    <row r="12" spans="1:13" ht="15" customHeight="1">
      <c r="A12" s="7">
        <v>11</v>
      </c>
      <c r="B12" s="15">
        <v>45993</v>
      </c>
      <c r="C12" s="16"/>
      <c r="D12" s="18" t="e">
        <f>#REF!</f>
        <v>#REF!</v>
      </c>
      <c r="E12" s="18"/>
      <c r="F12" s="18">
        <v>3</v>
      </c>
      <c r="G12" s="18">
        <v>5</v>
      </c>
      <c r="H12" s="18"/>
      <c r="I12" s="18"/>
      <c r="J12" s="18"/>
      <c r="K12" s="18"/>
      <c r="L12" s="18"/>
      <c r="M12" s="28" t="s">
        <v>127</v>
      </c>
    </row>
    <row r="13" spans="1:13" ht="15" customHeight="1">
      <c r="A13" s="20">
        <v>12</v>
      </c>
      <c r="B13" s="15">
        <v>45993</v>
      </c>
      <c r="C13" s="21">
        <v>0.42708333333333331</v>
      </c>
      <c r="D13" s="18" t="str">
        <f>'112225'!D13</f>
        <v>ROCK 3319 1-16H</v>
      </c>
      <c r="E13" s="24">
        <v>1</v>
      </c>
      <c r="F13" s="24">
        <v>2</v>
      </c>
      <c r="G13" s="24">
        <v>2</v>
      </c>
      <c r="H13" s="24">
        <v>149</v>
      </c>
      <c r="I13" s="24">
        <v>100</v>
      </c>
      <c r="J13" s="24"/>
      <c r="K13" s="24"/>
      <c r="L13" s="24">
        <v>31</v>
      </c>
      <c r="M13" s="28" t="s">
        <v>39</v>
      </c>
    </row>
    <row r="14" spans="1:13" ht="15" customHeight="1">
      <c r="A14" s="7">
        <v>13</v>
      </c>
      <c r="B14" s="15">
        <v>45993</v>
      </c>
      <c r="C14" s="16">
        <v>0.5</v>
      </c>
      <c r="D14" s="18" t="str">
        <f>'112225'!D14</f>
        <v>Dixie 3120 1‐25 SWD</v>
      </c>
      <c r="E14" s="18"/>
      <c r="F14" s="18"/>
      <c r="G14" s="18"/>
      <c r="H14" s="18"/>
      <c r="I14" s="18"/>
      <c r="J14" s="18"/>
      <c r="K14" s="18"/>
      <c r="L14" s="18"/>
      <c r="M14" s="19">
        <v>5633505</v>
      </c>
    </row>
    <row r="15" spans="1:13" ht="15" customHeight="1">
      <c r="A15" s="7">
        <v>14</v>
      </c>
      <c r="B15" s="15">
        <v>45993</v>
      </c>
      <c r="C15" s="16">
        <v>0.4375</v>
      </c>
      <c r="D15" s="18" t="str">
        <f>'112225'!D15</f>
        <v>GARLAND 1-26H</v>
      </c>
      <c r="E15" s="18">
        <v>2</v>
      </c>
      <c r="F15" s="40">
        <v>4</v>
      </c>
      <c r="G15" s="40">
        <v>6</v>
      </c>
      <c r="H15" s="18">
        <v>37.299999999999997</v>
      </c>
      <c r="I15" s="18"/>
      <c r="J15" s="18">
        <v>95</v>
      </c>
      <c r="K15" s="18">
        <v>30</v>
      </c>
      <c r="L15" s="18"/>
      <c r="M15" s="28" t="s">
        <v>128</v>
      </c>
    </row>
    <row r="16" spans="1:13" ht="15" customHeight="1">
      <c r="A16" s="7">
        <v>15</v>
      </c>
      <c r="B16" s="15">
        <v>45993</v>
      </c>
      <c r="C16" s="16">
        <v>0.52083333333333337</v>
      </c>
      <c r="D16" s="18" t="str">
        <f>'112225'!D16</f>
        <v>PTL 1-15H</v>
      </c>
      <c r="E16" s="18">
        <v>1</v>
      </c>
      <c r="F16" s="18">
        <v>9</v>
      </c>
      <c r="G16" s="18">
        <v>1</v>
      </c>
      <c r="H16" s="18">
        <v>57</v>
      </c>
      <c r="I16" s="18">
        <v>66</v>
      </c>
      <c r="J16" s="18"/>
      <c r="K16" s="18"/>
      <c r="L16" s="18">
        <v>61</v>
      </c>
      <c r="M16" s="28" t="s">
        <v>39</v>
      </c>
    </row>
    <row r="17" spans="1:13" ht="15" customHeight="1">
      <c r="A17" s="7">
        <v>16</v>
      </c>
      <c r="B17" s="15">
        <v>45993</v>
      </c>
      <c r="C17" s="16">
        <v>0.54166666666666663</v>
      </c>
      <c r="D17" s="18" t="str">
        <f>'112225'!D17</f>
        <v>GABRIEL 2-12H</v>
      </c>
      <c r="E17" s="18">
        <v>2</v>
      </c>
      <c r="F17" s="18">
        <v>11</v>
      </c>
      <c r="G17" s="18">
        <v>8</v>
      </c>
      <c r="H17" s="18">
        <v>177</v>
      </c>
      <c r="I17" s="18">
        <v>157</v>
      </c>
      <c r="J17" s="18"/>
      <c r="K17" s="18"/>
      <c r="L17" s="18">
        <v>57</v>
      </c>
      <c r="M17" s="19" t="s">
        <v>39</v>
      </c>
    </row>
    <row r="18" spans="1:13" ht="15" customHeight="1">
      <c r="A18" s="7">
        <v>17</v>
      </c>
      <c r="B18" s="15">
        <v>45993</v>
      </c>
      <c r="C18" s="16">
        <v>0.5625</v>
      </c>
      <c r="D18" s="18" t="str">
        <f>'112225'!D18</f>
        <v>GABRIEL 1-12H</v>
      </c>
      <c r="E18" s="18">
        <v>2</v>
      </c>
      <c r="F18" s="18">
        <v>7</v>
      </c>
      <c r="G18" s="18">
        <v>3</v>
      </c>
      <c r="H18" s="18">
        <v>39</v>
      </c>
      <c r="I18" s="18">
        <v>12</v>
      </c>
      <c r="J18" s="18"/>
      <c r="K18" s="18"/>
      <c r="L18" s="18">
        <v>58</v>
      </c>
      <c r="M18" s="19" t="s">
        <v>39</v>
      </c>
    </row>
    <row r="19" spans="1:13" ht="15" customHeight="1">
      <c r="A19" s="7">
        <v>18</v>
      </c>
      <c r="B19" s="15">
        <v>45993</v>
      </c>
      <c r="C19" s="16">
        <v>0.63541666666666663</v>
      </c>
      <c r="D19" s="18" t="str">
        <f>'112225'!D19</f>
        <v>SEAN 1-18H</v>
      </c>
      <c r="E19" s="18">
        <v>1</v>
      </c>
      <c r="F19" s="18">
        <v>10</v>
      </c>
      <c r="G19" s="18">
        <v>3</v>
      </c>
      <c r="H19" s="18">
        <v>46</v>
      </c>
      <c r="I19" s="18">
        <v>51</v>
      </c>
      <c r="J19" s="18"/>
      <c r="K19" s="18"/>
      <c r="L19" s="18">
        <v>56</v>
      </c>
      <c r="M19" s="19" t="s">
        <v>39</v>
      </c>
    </row>
    <row r="20" spans="1:13" ht="15" customHeight="1">
      <c r="A20" s="7">
        <v>19</v>
      </c>
      <c r="B20" s="15">
        <v>45993</v>
      </c>
      <c r="C20" s="16">
        <v>0.65625</v>
      </c>
      <c r="D20" s="18" t="str">
        <f>'112225'!D20</f>
        <v>SEAN 3119 3-18H</v>
      </c>
      <c r="E20" s="18">
        <v>1</v>
      </c>
      <c r="F20" s="18">
        <v>2</v>
      </c>
      <c r="G20" s="18">
        <v>0</v>
      </c>
      <c r="H20" s="18">
        <v>43</v>
      </c>
      <c r="I20" s="18">
        <v>57</v>
      </c>
      <c r="J20" s="18"/>
      <c r="K20" s="18"/>
      <c r="L20" s="18">
        <v>60</v>
      </c>
      <c r="M20" s="28" t="s">
        <v>39</v>
      </c>
    </row>
    <row r="21" spans="1:13" ht="15" customHeight="1">
      <c r="A21" s="7">
        <v>20</v>
      </c>
      <c r="B21" s="15">
        <v>45993</v>
      </c>
      <c r="C21" s="16">
        <v>0.67708333333333337</v>
      </c>
      <c r="D21" s="18" t="str">
        <f>'112225'!D21</f>
        <v>ELLIS 2-19H</v>
      </c>
      <c r="E21" s="18">
        <v>1</v>
      </c>
      <c r="F21" s="18">
        <v>6</v>
      </c>
      <c r="G21" s="18">
        <v>0</v>
      </c>
      <c r="H21" s="18">
        <v>71</v>
      </c>
      <c r="I21" s="18">
        <v>115</v>
      </c>
      <c r="J21" s="18"/>
      <c r="K21" s="18"/>
      <c r="L21" s="18">
        <v>57</v>
      </c>
      <c r="M21" s="19" t="s">
        <v>39</v>
      </c>
    </row>
    <row r="22" spans="1:13" ht="15" customHeight="1">
      <c r="A22" s="7">
        <v>21</v>
      </c>
      <c r="B22" s="15">
        <v>45993</v>
      </c>
      <c r="C22" s="16">
        <v>0.69791666666666663</v>
      </c>
      <c r="D22" s="18" t="str">
        <f>'112225'!D22</f>
        <v>BROTHERS 1-6H</v>
      </c>
      <c r="E22" s="18">
        <v>1</v>
      </c>
      <c r="F22" s="18">
        <v>4</v>
      </c>
      <c r="G22" s="18">
        <v>10</v>
      </c>
      <c r="H22" s="18">
        <v>72</v>
      </c>
      <c r="I22" s="18">
        <v>0</v>
      </c>
      <c r="J22" s="18"/>
      <c r="K22" s="18"/>
      <c r="L22" s="18">
        <v>70</v>
      </c>
      <c r="M22" s="28" t="s">
        <v>39</v>
      </c>
    </row>
    <row r="23" spans="1:13" ht="15" customHeight="1">
      <c r="A23" s="7">
        <v>22</v>
      </c>
      <c r="B23" s="15">
        <v>45993</v>
      </c>
      <c r="C23" s="16">
        <v>0.71875</v>
      </c>
      <c r="D23" s="18" t="str">
        <f>'112225'!D23</f>
        <v>BROTHERS 2-6H</v>
      </c>
      <c r="E23" s="18">
        <v>1</v>
      </c>
      <c r="F23" s="18">
        <v>4</v>
      </c>
      <c r="G23" s="18">
        <v>0</v>
      </c>
      <c r="H23" s="18">
        <v>100</v>
      </c>
      <c r="I23" s="18">
        <v>94</v>
      </c>
      <c r="J23" s="18"/>
      <c r="K23" s="18"/>
      <c r="L23" s="18">
        <v>87</v>
      </c>
      <c r="M23" s="19" t="s">
        <v>39</v>
      </c>
    </row>
    <row r="24" spans="1:13" ht="15" customHeight="1">
      <c r="A24" s="20">
        <v>23</v>
      </c>
      <c r="B24" s="15">
        <v>45993</v>
      </c>
      <c r="C24" s="21">
        <v>0.3576388888888889</v>
      </c>
      <c r="D24" s="18" t="str">
        <f>'112225'!D24</f>
        <v>SARAH 1-34H</v>
      </c>
      <c r="E24" s="23">
        <v>1</v>
      </c>
      <c r="F24" s="24">
        <v>5</v>
      </c>
      <c r="G24" s="24">
        <v>8</v>
      </c>
      <c r="H24" s="24">
        <v>22</v>
      </c>
      <c r="I24" s="24">
        <v>27</v>
      </c>
      <c r="J24" s="24">
        <v>56</v>
      </c>
      <c r="K24" s="24">
        <v>73</v>
      </c>
      <c r="L24" s="24">
        <v>54</v>
      </c>
      <c r="M24" s="27" t="s">
        <v>129</v>
      </c>
    </row>
    <row r="25" spans="1:13" ht="15" customHeight="1">
      <c r="A25" s="20">
        <v>24</v>
      </c>
      <c r="B25" s="15">
        <v>45993</v>
      </c>
      <c r="C25" s="21">
        <v>0.36458333333333331</v>
      </c>
      <c r="D25" s="18" t="str">
        <f>'112225'!D25</f>
        <v>SARAH 2-34H</v>
      </c>
      <c r="E25" s="23">
        <v>1</v>
      </c>
      <c r="F25" s="24">
        <v>4</v>
      </c>
      <c r="G25" s="24">
        <v>0</v>
      </c>
      <c r="H25" s="24">
        <v>41</v>
      </c>
      <c r="I25" s="24">
        <v>84</v>
      </c>
      <c r="J25" s="24"/>
      <c r="K25" s="24"/>
      <c r="L25" s="24">
        <v>57</v>
      </c>
      <c r="M25" s="27" t="s">
        <v>130</v>
      </c>
    </row>
    <row r="26" spans="1:13" ht="15" customHeight="1">
      <c r="A26" s="7">
        <v>25</v>
      </c>
      <c r="B26" s="15">
        <v>45993</v>
      </c>
      <c r="C26" s="16">
        <v>0.52152777777777781</v>
      </c>
      <c r="D26" s="18" t="str">
        <f>'112225'!D26</f>
        <v>WANDA 1-2H 1L</v>
      </c>
      <c r="E26" s="5">
        <v>1</v>
      </c>
      <c r="F26" s="18">
        <v>5</v>
      </c>
      <c r="G26" s="18">
        <v>0.5</v>
      </c>
      <c r="H26" s="18">
        <v>240</v>
      </c>
      <c r="I26" s="18">
        <v>67</v>
      </c>
      <c r="J26" s="18"/>
      <c r="K26" s="18"/>
      <c r="L26" s="18">
        <v>47</v>
      </c>
      <c r="M26" s="28" t="s">
        <v>131</v>
      </c>
    </row>
    <row r="27" spans="1:13" ht="15" customHeight="1">
      <c r="A27" s="7">
        <v>26</v>
      </c>
      <c r="B27" s="15">
        <v>45993</v>
      </c>
      <c r="C27" s="35">
        <v>0.4826388888888889</v>
      </c>
      <c r="D27" s="18" t="str">
        <f>'112225'!D27</f>
        <v>Yankee 3317 1-27 SWD</v>
      </c>
      <c r="E27" s="18"/>
      <c r="F27" s="18"/>
      <c r="G27" s="18"/>
      <c r="H27" s="36"/>
      <c r="I27" s="36"/>
      <c r="J27" s="36"/>
      <c r="K27" s="36"/>
      <c r="L27" s="36"/>
      <c r="M27" s="19">
        <v>7762116</v>
      </c>
    </row>
    <row r="28" spans="1:13" ht="15" customHeight="1">
      <c r="A28" s="7">
        <v>27</v>
      </c>
      <c r="B28" s="15">
        <v>45993</v>
      </c>
      <c r="C28" s="18"/>
      <c r="D28" s="18" t="s">
        <v>179</v>
      </c>
      <c r="E28" s="18"/>
      <c r="F28" s="18"/>
      <c r="G28" s="18"/>
      <c r="H28" s="18"/>
      <c r="I28" s="18"/>
      <c r="J28" s="18"/>
      <c r="K28" s="18"/>
      <c r="L28" s="18"/>
      <c r="M28" s="28" t="s">
        <v>132</v>
      </c>
    </row>
    <row r="29" spans="1:13" ht="12.3">
      <c r="A29" s="7">
        <v>28</v>
      </c>
      <c r="B29" s="15">
        <v>45993</v>
      </c>
      <c r="C29" s="16">
        <v>0.58333333333333337</v>
      </c>
      <c r="D29" s="18" t="s">
        <v>77</v>
      </c>
      <c r="E29" s="18"/>
      <c r="F29" s="18"/>
      <c r="G29" s="18"/>
      <c r="H29" s="18"/>
      <c r="I29" s="18"/>
      <c r="J29" s="18"/>
      <c r="K29" s="18"/>
      <c r="L29" s="18"/>
      <c r="M29" s="28" t="s">
        <v>122</v>
      </c>
    </row>
    <row r="30" spans="1:13" ht="49.2">
      <c r="A30" s="7">
        <v>29</v>
      </c>
      <c r="B30" s="15">
        <v>45993</v>
      </c>
      <c r="C30" s="18"/>
      <c r="D30" s="37" t="s">
        <v>1</v>
      </c>
      <c r="E30" s="18"/>
      <c r="F30" s="18"/>
      <c r="G30" s="18"/>
      <c r="H30" s="18"/>
      <c r="I30" s="18"/>
      <c r="J30" s="18"/>
      <c r="K30" s="18"/>
      <c r="L30" s="18"/>
      <c r="M30" s="28" t="s">
        <v>105</v>
      </c>
    </row>
    <row r="31" spans="1:13" ht="12.3">
      <c r="A31" s="7">
        <v>30</v>
      </c>
      <c r="B31" s="15">
        <v>45996</v>
      </c>
      <c r="C31" s="16">
        <v>0.44791666666666669</v>
      </c>
      <c r="D31" t="s">
        <v>180</v>
      </c>
      <c r="E31" s="18">
        <v>1</v>
      </c>
      <c r="F31" s="18">
        <v>3</v>
      </c>
      <c r="G31" s="18">
        <v>5</v>
      </c>
      <c r="H31" s="18">
        <v>4</v>
      </c>
      <c r="I31" s="18"/>
      <c r="J31" s="18"/>
      <c r="K31" s="18"/>
      <c r="L31" s="18"/>
      <c r="M31" s="19" t="s">
        <v>39</v>
      </c>
    </row>
    <row r="32" spans="1:13" ht="24.6">
      <c r="A32" s="7">
        <v>31</v>
      </c>
      <c r="B32" s="15">
        <v>45993</v>
      </c>
      <c r="C32" s="18"/>
      <c r="D32" s="2" t="s">
        <v>28</v>
      </c>
      <c r="E32" s="18"/>
      <c r="F32" s="18"/>
      <c r="G32" s="18"/>
      <c r="H32" s="18"/>
      <c r="I32" s="18"/>
      <c r="J32" s="18"/>
      <c r="K32" s="18"/>
      <c r="L32" s="18"/>
      <c r="M32" s="28" t="s">
        <v>133</v>
      </c>
    </row>
    <row r="33" spans="1:13" ht="12.3">
      <c r="A33" s="7">
        <v>32</v>
      </c>
      <c r="B33" s="15"/>
      <c r="C33" s="18"/>
      <c r="D33" s="18"/>
      <c r="E33" s="18"/>
      <c r="F33" s="18"/>
      <c r="G33" s="18"/>
      <c r="H33" s="18"/>
      <c r="I33" s="18"/>
      <c r="J33" s="18"/>
      <c r="K33" s="18"/>
      <c r="L33" s="18"/>
      <c r="M33" s="19"/>
    </row>
    <row r="34" spans="1:13" ht="12.3">
      <c r="A34" s="7">
        <v>33</v>
      </c>
      <c r="B34" s="15"/>
      <c r="C34" s="18"/>
      <c r="D34" s="18"/>
      <c r="E34" s="18"/>
      <c r="F34" s="18"/>
      <c r="G34" s="18"/>
      <c r="H34" s="18"/>
      <c r="I34" s="18"/>
      <c r="J34" s="18"/>
      <c r="K34" s="18"/>
      <c r="L34" s="18"/>
      <c r="M34" s="19"/>
    </row>
    <row r="35" spans="1:13" ht="12.3">
      <c r="A35" s="7">
        <v>34</v>
      </c>
      <c r="B35" s="15"/>
      <c r="C35" s="18"/>
      <c r="D35" s="18"/>
      <c r="E35" s="18"/>
      <c r="F35" s="18"/>
      <c r="G35" s="18"/>
      <c r="H35" s="18"/>
      <c r="I35" s="18"/>
      <c r="J35" s="18"/>
      <c r="K35" s="18"/>
      <c r="L35" s="18"/>
      <c r="M35" s="19"/>
    </row>
    <row r="36" spans="1:13" ht="12.3">
      <c r="A36" s="7">
        <v>35</v>
      </c>
      <c r="B36" s="15"/>
      <c r="C36" s="18"/>
      <c r="D36" s="18"/>
      <c r="E36" s="18"/>
      <c r="F36" s="18"/>
      <c r="G36" s="18"/>
      <c r="H36" s="18"/>
      <c r="I36" s="18"/>
      <c r="J36" s="18"/>
      <c r="K36" s="18"/>
      <c r="L36" s="18"/>
      <c r="M36" s="19"/>
    </row>
    <row r="37" spans="1:13" ht="12.3">
      <c r="A37" s="7">
        <v>36</v>
      </c>
      <c r="B37" s="15"/>
      <c r="C37" s="18"/>
      <c r="D37" s="18"/>
      <c r="E37" s="18"/>
      <c r="F37" s="18"/>
      <c r="G37" s="18"/>
      <c r="H37" s="18"/>
      <c r="I37" s="18"/>
      <c r="J37" s="18"/>
      <c r="K37" s="18"/>
      <c r="L37" s="18"/>
      <c r="M37" s="19"/>
    </row>
    <row r="38" spans="1:13" ht="12.3">
      <c r="A38" s="4"/>
      <c r="B38" s="6"/>
      <c r="C38" s="11"/>
      <c r="D38" s="11"/>
      <c r="E38" s="11"/>
      <c r="F38" s="11"/>
      <c r="G38" s="30"/>
      <c r="H38" s="30">
        <f>SUM(H2:H37)</f>
        <v>1972.3</v>
      </c>
      <c r="I38" s="11"/>
      <c r="J38" s="11"/>
      <c r="K38" s="11"/>
      <c r="L38" s="11"/>
      <c r="M38" s="4"/>
    </row>
    <row r="39" spans="1:13" ht="12.3"/>
  </sheetData>
  <mergeCells count="1">
    <mergeCell ref="E8:E9"/>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M998"/>
  <sheetViews>
    <sheetView topLeftCell="A13" workbookViewId="0">
      <selection activeCell="D32" sqref="D32"/>
    </sheetView>
  </sheetViews>
  <sheetFormatPr defaultColWidth="12.609375" defaultRowHeight="15" customHeight="1"/>
  <cols>
    <col min="1" max="1" width="4.21875" customWidth="1"/>
    <col min="4" max="4" width="18.88671875" customWidth="1"/>
    <col min="6" max="6" width="6.5" customWidth="1"/>
    <col min="7" max="7" width="7.71875" customWidth="1"/>
    <col min="10" max="10" width="10" customWidth="1"/>
    <col min="11" max="11" width="9.71875" customWidth="1"/>
    <col min="12" max="12" width="8.38671875" customWidth="1"/>
    <col min="13" max="13" width="41.109375" customWidth="1"/>
  </cols>
  <sheetData>
    <row r="1" spans="1:13" ht="15" customHeight="1">
      <c r="A1" s="41"/>
      <c r="B1" s="42" t="s">
        <v>29</v>
      </c>
      <c r="C1" s="43" t="s">
        <v>37</v>
      </c>
      <c r="D1" s="43" t="s">
        <v>36</v>
      </c>
      <c r="E1" s="13" t="s">
        <v>175</v>
      </c>
      <c r="F1" s="8" t="s">
        <v>176</v>
      </c>
      <c r="G1" s="13" t="s">
        <v>177</v>
      </c>
      <c r="H1" s="13" t="s">
        <v>178</v>
      </c>
      <c r="I1" s="13" t="s">
        <v>38</v>
      </c>
      <c r="J1" s="13" t="s">
        <v>32</v>
      </c>
      <c r="K1" s="13" t="s">
        <v>33</v>
      </c>
      <c r="L1" s="13" t="s">
        <v>34</v>
      </c>
      <c r="M1" s="44" t="s">
        <v>35</v>
      </c>
    </row>
    <row r="2" spans="1:13" ht="15" customHeight="1">
      <c r="A2" s="7">
        <v>1</v>
      </c>
      <c r="B2" s="33">
        <v>45994</v>
      </c>
      <c r="C2" s="21">
        <v>0.63541666666666663</v>
      </c>
      <c r="D2" s="22" t="s">
        <v>18</v>
      </c>
      <c r="E2" s="18"/>
      <c r="F2" s="24"/>
      <c r="G2" s="18"/>
      <c r="H2" s="18">
        <v>25</v>
      </c>
      <c r="I2" s="18">
        <v>29</v>
      </c>
      <c r="J2" s="18">
        <v>120</v>
      </c>
      <c r="K2" s="18"/>
      <c r="L2" s="18">
        <v>30</v>
      </c>
      <c r="M2" s="45" t="s">
        <v>39</v>
      </c>
    </row>
    <row r="3" spans="1:13" ht="15" customHeight="1">
      <c r="A3" s="20">
        <v>2</v>
      </c>
      <c r="B3" s="33">
        <v>45994</v>
      </c>
      <c r="C3" s="21">
        <v>0.35972222222222222</v>
      </c>
      <c r="D3" s="22" t="s">
        <v>20</v>
      </c>
      <c r="E3" s="23"/>
      <c r="F3" s="24"/>
      <c r="G3" s="24"/>
      <c r="H3" s="24">
        <v>5.7</v>
      </c>
      <c r="I3" s="24">
        <v>202</v>
      </c>
      <c r="J3" s="24">
        <v>180</v>
      </c>
      <c r="K3" s="24">
        <v>39</v>
      </c>
      <c r="L3" s="24">
        <v>35</v>
      </c>
      <c r="M3" s="46" t="s">
        <v>134</v>
      </c>
    </row>
    <row r="4" spans="1:13" ht="15" customHeight="1">
      <c r="A4" s="20">
        <v>3</v>
      </c>
      <c r="B4" s="33">
        <v>45994</v>
      </c>
      <c r="C4" s="21">
        <v>0.63888888888888884</v>
      </c>
      <c r="D4" s="22" t="s">
        <v>2</v>
      </c>
      <c r="E4" s="24"/>
      <c r="F4" s="24"/>
      <c r="G4" s="24"/>
      <c r="H4" s="24">
        <v>102</v>
      </c>
      <c r="I4" s="24">
        <v>100</v>
      </c>
      <c r="J4" s="24">
        <v>150</v>
      </c>
      <c r="K4" s="24">
        <v>50</v>
      </c>
      <c r="L4" s="24">
        <v>44</v>
      </c>
      <c r="M4" s="46" t="s">
        <v>39</v>
      </c>
    </row>
    <row r="5" spans="1:13" ht="15" customHeight="1">
      <c r="A5" s="7">
        <v>4</v>
      </c>
      <c r="B5" s="33">
        <v>45994</v>
      </c>
      <c r="C5" s="21">
        <v>0.64236111111111116</v>
      </c>
      <c r="D5" s="22" t="s">
        <v>3</v>
      </c>
      <c r="E5" s="18"/>
      <c r="F5" s="18"/>
      <c r="G5" s="18"/>
      <c r="H5" s="18">
        <v>123</v>
      </c>
      <c r="I5" s="18">
        <v>134</v>
      </c>
      <c r="J5" s="18">
        <v>150</v>
      </c>
      <c r="K5" s="18">
        <v>30</v>
      </c>
      <c r="L5" s="18">
        <v>37</v>
      </c>
      <c r="M5" s="9" t="s">
        <v>39</v>
      </c>
    </row>
    <row r="6" spans="1:13" ht="15" customHeight="1">
      <c r="A6" s="7">
        <v>5</v>
      </c>
      <c r="B6" s="33">
        <v>45994</v>
      </c>
      <c r="C6" s="21">
        <v>0.64583333333333337</v>
      </c>
      <c r="D6" s="22" t="s">
        <v>9</v>
      </c>
      <c r="E6" s="18"/>
      <c r="F6" s="18"/>
      <c r="G6" s="18"/>
      <c r="H6" s="18">
        <v>243</v>
      </c>
      <c r="I6" s="18">
        <v>238</v>
      </c>
      <c r="J6" s="18">
        <v>100</v>
      </c>
      <c r="K6" s="18">
        <v>30</v>
      </c>
      <c r="L6" s="18">
        <v>37</v>
      </c>
      <c r="M6" s="45" t="s">
        <v>39</v>
      </c>
    </row>
    <row r="7" spans="1:13" ht="15" customHeight="1">
      <c r="A7" s="7">
        <v>6</v>
      </c>
      <c r="B7" s="33">
        <v>45994</v>
      </c>
      <c r="C7" s="21">
        <v>0.64583333333333337</v>
      </c>
      <c r="D7" s="22" t="s">
        <v>4</v>
      </c>
      <c r="E7" s="18"/>
      <c r="F7" s="18"/>
      <c r="G7" s="18"/>
      <c r="H7" s="18">
        <v>177</v>
      </c>
      <c r="I7" s="18">
        <v>199</v>
      </c>
      <c r="J7" s="18">
        <v>80</v>
      </c>
      <c r="K7" s="18">
        <v>60</v>
      </c>
      <c r="L7" s="18">
        <v>37</v>
      </c>
      <c r="M7" s="45" t="s">
        <v>39</v>
      </c>
    </row>
    <row r="8" spans="1:13" ht="15" customHeight="1">
      <c r="A8" s="7">
        <v>7</v>
      </c>
      <c r="B8" s="33">
        <v>45994</v>
      </c>
      <c r="C8" s="21">
        <v>0.65625</v>
      </c>
      <c r="D8" s="22" t="s">
        <v>15</v>
      </c>
      <c r="E8" s="49"/>
      <c r="F8" s="18"/>
      <c r="G8" s="18"/>
      <c r="H8" s="18">
        <v>44</v>
      </c>
      <c r="I8" s="18">
        <v>48</v>
      </c>
      <c r="J8" s="18">
        <v>100</v>
      </c>
      <c r="K8" s="18">
        <v>50</v>
      </c>
      <c r="L8" s="18">
        <v>31</v>
      </c>
      <c r="M8" s="45" t="s">
        <v>135</v>
      </c>
    </row>
    <row r="9" spans="1:13" ht="15" customHeight="1">
      <c r="A9" s="7">
        <v>8</v>
      </c>
      <c r="B9" s="33">
        <v>45994</v>
      </c>
      <c r="C9" s="21">
        <v>0.65625</v>
      </c>
      <c r="D9" s="22" t="s">
        <v>16</v>
      </c>
      <c r="E9" s="50"/>
      <c r="F9" s="18"/>
      <c r="G9" s="18"/>
      <c r="H9" s="18"/>
      <c r="I9" s="18"/>
      <c r="J9" s="18"/>
      <c r="K9" s="18"/>
      <c r="L9" s="18"/>
      <c r="M9" s="45" t="s">
        <v>124</v>
      </c>
    </row>
    <row r="10" spans="1:13" ht="15" customHeight="1">
      <c r="A10" s="20">
        <v>9</v>
      </c>
      <c r="B10" s="33">
        <v>45994</v>
      </c>
      <c r="C10" s="21"/>
      <c r="D10" s="22" t="s">
        <v>5</v>
      </c>
      <c r="E10" s="23"/>
      <c r="F10" s="24"/>
      <c r="G10" s="24"/>
      <c r="H10" s="24">
        <v>0</v>
      </c>
      <c r="I10" s="24">
        <v>0</v>
      </c>
      <c r="J10" s="24">
        <v>100</v>
      </c>
      <c r="K10" s="24">
        <v>50</v>
      </c>
      <c r="L10" s="24">
        <v>34</v>
      </c>
      <c r="M10" s="45" t="s">
        <v>39</v>
      </c>
    </row>
    <row r="11" spans="1:13" ht="15" customHeight="1">
      <c r="A11" s="7">
        <v>10</v>
      </c>
      <c r="B11" s="33">
        <v>45994</v>
      </c>
      <c r="C11" s="21">
        <v>0.60416666666666663</v>
      </c>
      <c r="D11" s="22" t="s">
        <v>6</v>
      </c>
      <c r="E11" s="18"/>
      <c r="F11" s="18"/>
      <c r="G11" s="18"/>
      <c r="H11" s="18">
        <v>38</v>
      </c>
      <c r="I11" s="18">
        <v>56</v>
      </c>
      <c r="J11" s="18"/>
      <c r="K11" s="18"/>
      <c r="L11" s="18">
        <v>34</v>
      </c>
      <c r="M11" s="9" t="s">
        <v>136</v>
      </c>
    </row>
    <row r="12" spans="1:13" ht="15" customHeight="1">
      <c r="A12" s="7">
        <v>11</v>
      </c>
      <c r="B12" s="33">
        <v>45994</v>
      </c>
      <c r="C12" s="21"/>
      <c r="D12" s="22" t="e">
        <f>#REF!</f>
        <v>#REF!</v>
      </c>
      <c r="E12" s="18"/>
      <c r="F12" s="18"/>
      <c r="G12" s="18"/>
      <c r="H12" s="18"/>
      <c r="I12" s="18">
        <v>16</v>
      </c>
      <c r="J12" s="18"/>
      <c r="K12" s="18"/>
      <c r="L12" s="18"/>
      <c r="M12" s="45"/>
    </row>
    <row r="13" spans="1:13" ht="15" customHeight="1">
      <c r="A13" s="20">
        <v>12</v>
      </c>
      <c r="B13" s="33">
        <v>45994</v>
      </c>
      <c r="C13" s="21">
        <v>0.67708333333333337</v>
      </c>
      <c r="D13" s="22" t="s">
        <v>19</v>
      </c>
      <c r="E13" s="24"/>
      <c r="F13" s="24"/>
      <c r="G13" s="24"/>
      <c r="H13" s="24">
        <v>137</v>
      </c>
      <c r="I13" s="24">
        <v>115</v>
      </c>
      <c r="J13" s="24">
        <v>150</v>
      </c>
      <c r="K13" s="24">
        <v>50</v>
      </c>
      <c r="L13" s="24">
        <v>31</v>
      </c>
      <c r="M13" s="45" t="s">
        <v>39</v>
      </c>
    </row>
    <row r="14" spans="1:13" ht="15" customHeight="1">
      <c r="A14" s="7">
        <v>13</v>
      </c>
      <c r="B14" s="33">
        <v>45994</v>
      </c>
      <c r="C14" s="21">
        <v>0.49791666666666667</v>
      </c>
      <c r="D14" s="22" t="s">
        <v>26</v>
      </c>
      <c r="E14" s="18"/>
      <c r="F14" s="18"/>
      <c r="G14" s="18"/>
      <c r="H14" s="18"/>
      <c r="I14" s="18"/>
      <c r="J14" s="18"/>
      <c r="K14" s="18"/>
      <c r="L14" s="18"/>
      <c r="M14" s="9">
        <v>5635232</v>
      </c>
    </row>
    <row r="15" spans="1:13" ht="15" customHeight="1">
      <c r="A15" s="7">
        <v>14</v>
      </c>
      <c r="B15" s="33">
        <v>45994</v>
      </c>
      <c r="C15" s="21">
        <v>0.35416666666666669</v>
      </c>
      <c r="D15" s="22" t="s">
        <v>13</v>
      </c>
      <c r="E15" s="18"/>
      <c r="F15" s="18"/>
      <c r="G15" s="18"/>
      <c r="H15" s="18">
        <v>31.5</v>
      </c>
      <c r="I15" s="18">
        <v>73</v>
      </c>
      <c r="J15" s="18">
        <v>202</v>
      </c>
      <c r="K15" s="18">
        <v>1.8</v>
      </c>
      <c r="L15" s="18">
        <v>69</v>
      </c>
      <c r="M15" s="45" t="s">
        <v>112</v>
      </c>
    </row>
    <row r="16" spans="1:13" ht="15" customHeight="1">
      <c r="A16" s="7">
        <v>15</v>
      </c>
      <c r="B16" s="33">
        <v>45994</v>
      </c>
      <c r="C16" s="21">
        <v>0.48958333333333331</v>
      </c>
      <c r="D16" s="22" t="s">
        <v>17</v>
      </c>
      <c r="E16" s="18"/>
      <c r="F16" s="18"/>
      <c r="G16" s="18"/>
      <c r="H16" s="18">
        <v>57</v>
      </c>
      <c r="I16" s="18">
        <v>43</v>
      </c>
      <c r="J16" s="18">
        <v>150</v>
      </c>
      <c r="K16" s="18">
        <v>50</v>
      </c>
      <c r="L16" s="18">
        <v>62</v>
      </c>
      <c r="M16" s="45" t="s">
        <v>39</v>
      </c>
    </row>
    <row r="17" spans="1:13" ht="15" customHeight="1">
      <c r="A17" s="7">
        <v>16</v>
      </c>
      <c r="B17" s="33">
        <v>45994</v>
      </c>
      <c r="C17" s="21">
        <v>0.47916666666666669</v>
      </c>
      <c r="D17" s="22" t="s">
        <v>12</v>
      </c>
      <c r="E17" s="18"/>
      <c r="F17" s="18"/>
      <c r="G17" s="18"/>
      <c r="H17" s="18">
        <v>73</v>
      </c>
      <c r="I17" s="18">
        <v>157</v>
      </c>
      <c r="J17" s="18">
        <v>200</v>
      </c>
      <c r="K17" s="18">
        <v>70</v>
      </c>
      <c r="L17" s="18">
        <v>59</v>
      </c>
      <c r="M17" s="9" t="s">
        <v>39</v>
      </c>
    </row>
    <row r="18" spans="1:13" ht="15" customHeight="1">
      <c r="A18" s="7">
        <v>17</v>
      </c>
      <c r="B18" s="33">
        <v>45994</v>
      </c>
      <c r="C18" s="21">
        <v>0.46875</v>
      </c>
      <c r="D18" s="22" t="s">
        <v>11</v>
      </c>
      <c r="E18" s="18"/>
      <c r="F18" s="18"/>
      <c r="G18" s="18"/>
      <c r="H18" s="18">
        <v>40</v>
      </c>
      <c r="I18" s="18">
        <v>47</v>
      </c>
      <c r="J18" s="18">
        <v>100</v>
      </c>
      <c r="K18" s="18">
        <v>50</v>
      </c>
      <c r="L18" s="18">
        <v>57</v>
      </c>
      <c r="M18" s="9" t="s">
        <v>39</v>
      </c>
    </row>
    <row r="19" spans="1:13" ht="15" customHeight="1">
      <c r="A19" s="7">
        <v>18</v>
      </c>
      <c r="B19" s="33">
        <v>45994</v>
      </c>
      <c r="C19" s="21">
        <v>0.46180555555555558</v>
      </c>
      <c r="D19" s="22" t="s">
        <v>23</v>
      </c>
      <c r="E19" s="18"/>
      <c r="F19" s="18"/>
      <c r="G19" s="18"/>
      <c r="H19" s="18">
        <v>53</v>
      </c>
      <c r="I19" s="18">
        <v>40</v>
      </c>
      <c r="J19" s="18">
        <v>120</v>
      </c>
      <c r="K19" s="18">
        <v>50</v>
      </c>
      <c r="L19" s="18">
        <v>56</v>
      </c>
      <c r="M19" s="9" t="s">
        <v>39</v>
      </c>
    </row>
    <row r="20" spans="1:13" ht="15" customHeight="1">
      <c r="A20" s="7">
        <v>19</v>
      </c>
      <c r="B20" s="33">
        <v>45994</v>
      </c>
      <c r="C20" s="21">
        <v>0.4548611111111111</v>
      </c>
      <c r="D20" s="22" t="s">
        <v>24</v>
      </c>
      <c r="E20" s="18"/>
      <c r="F20" s="18"/>
      <c r="G20" s="18"/>
      <c r="H20" s="18">
        <v>34</v>
      </c>
      <c r="I20" s="18">
        <v>110</v>
      </c>
      <c r="J20" s="18">
        <v>100</v>
      </c>
      <c r="K20" s="18">
        <v>50</v>
      </c>
      <c r="L20" s="18">
        <v>54</v>
      </c>
      <c r="M20" s="45" t="s">
        <v>39</v>
      </c>
    </row>
    <row r="21" spans="1:13" ht="15" customHeight="1">
      <c r="A21" s="7">
        <v>20</v>
      </c>
      <c r="B21" s="33">
        <v>45994</v>
      </c>
      <c r="C21" s="21">
        <v>0.44791666666666669</v>
      </c>
      <c r="D21" s="22" t="s">
        <v>10</v>
      </c>
      <c r="E21" s="18"/>
      <c r="F21" s="18"/>
      <c r="G21" s="18"/>
      <c r="H21" s="18">
        <v>100</v>
      </c>
      <c r="I21" s="18">
        <v>110</v>
      </c>
      <c r="J21" s="18">
        <v>150</v>
      </c>
      <c r="K21" s="18">
        <v>80</v>
      </c>
      <c r="L21" s="18">
        <v>52</v>
      </c>
      <c r="M21" s="9" t="s">
        <v>39</v>
      </c>
    </row>
    <row r="22" spans="1:13" ht="15" customHeight="1">
      <c r="A22" s="7">
        <v>21</v>
      </c>
      <c r="B22" s="33">
        <v>45994</v>
      </c>
      <c r="C22" s="21">
        <v>0.42708333333333331</v>
      </c>
      <c r="D22" s="22" t="s">
        <v>7</v>
      </c>
      <c r="E22" s="18"/>
      <c r="F22" s="18"/>
      <c r="G22" s="18"/>
      <c r="H22" s="18">
        <v>70</v>
      </c>
      <c r="I22" s="18">
        <v>0</v>
      </c>
      <c r="J22" s="18">
        <v>100</v>
      </c>
      <c r="K22" s="18">
        <v>50</v>
      </c>
      <c r="L22" s="18">
        <v>69</v>
      </c>
      <c r="M22" s="45" t="s">
        <v>137</v>
      </c>
    </row>
    <row r="23" spans="1:13" ht="15" customHeight="1">
      <c r="A23" s="7">
        <v>22</v>
      </c>
      <c r="B23" s="33">
        <v>45994</v>
      </c>
      <c r="C23" s="21">
        <v>0.4375</v>
      </c>
      <c r="D23" s="22" t="s">
        <v>8</v>
      </c>
      <c r="E23" s="18"/>
      <c r="F23" s="18"/>
      <c r="G23" s="18"/>
      <c r="H23" s="18">
        <v>97</v>
      </c>
      <c r="I23" s="18">
        <v>107</v>
      </c>
      <c r="J23" s="18">
        <v>80</v>
      </c>
      <c r="K23" s="18">
        <v>50</v>
      </c>
      <c r="L23" s="18">
        <v>86</v>
      </c>
      <c r="M23" s="9" t="s">
        <v>39</v>
      </c>
    </row>
    <row r="24" spans="1:13" ht="15" customHeight="1">
      <c r="A24" s="20">
        <v>23</v>
      </c>
      <c r="B24" s="33">
        <v>45994</v>
      </c>
      <c r="C24" s="21">
        <v>0.37222222222222223</v>
      </c>
      <c r="D24" s="22" t="s">
        <v>21</v>
      </c>
      <c r="E24" s="23"/>
      <c r="F24" s="24"/>
      <c r="G24" s="24"/>
      <c r="H24" s="24">
        <v>87</v>
      </c>
      <c r="I24" s="24">
        <v>90</v>
      </c>
      <c r="J24" s="24">
        <v>80</v>
      </c>
      <c r="K24" s="24">
        <v>50</v>
      </c>
      <c r="L24" s="24">
        <v>62</v>
      </c>
      <c r="M24" s="46" t="s">
        <v>39</v>
      </c>
    </row>
    <row r="25" spans="1:13" ht="15" customHeight="1">
      <c r="A25" s="20">
        <v>24</v>
      </c>
      <c r="B25" s="33">
        <v>45994</v>
      </c>
      <c r="C25" s="21">
        <v>0.36805555555555558</v>
      </c>
      <c r="D25" s="22" t="s">
        <v>22</v>
      </c>
      <c r="E25" s="23"/>
      <c r="F25" s="24"/>
      <c r="G25" s="24"/>
      <c r="H25" s="24">
        <v>38</v>
      </c>
      <c r="I25" s="24">
        <v>38</v>
      </c>
      <c r="J25" s="24">
        <v>55</v>
      </c>
      <c r="K25" s="24">
        <v>80</v>
      </c>
      <c r="L25" s="24">
        <v>62</v>
      </c>
      <c r="M25" s="46" t="s">
        <v>138</v>
      </c>
    </row>
    <row r="26" spans="1:13" ht="12.3">
      <c r="A26" s="7">
        <v>25</v>
      </c>
      <c r="B26" s="33">
        <v>45994</v>
      </c>
      <c r="C26" s="21">
        <v>0.37569444444444444</v>
      </c>
      <c r="D26" s="22" t="s">
        <v>25</v>
      </c>
      <c r="E26" s="5"/>
      <c r="F26" s="18"/>
      <c r="G26" s="18"/>
      <c r="H26" s="18">
        <v>236</v>
      </c>
      <c r="I26" s="18">
        <v>365</v>
      </c>
      <c r="J26" s="18">
        <v>122</v>
      </c>
      <c r="K26" s="18">
        <v>70</v>
      </c>
      <c r="L26" s="18">
        <v>51</v>
      </c>
      <c r="M26" s="45" t="s">
        <v>39</v>
      </c>
    </row>
    <row r="27" spans="1:13" ht="12.3">
      <c r="A27" s="7">
        <v>26</v>
      </c>
      <c r="B27" s="33">
        <v>45994</v>
      </c>
      <c r="C27" s="47">
        <v>0.37569444444444444</v>
      </c>
      <c r="D27" s="22" t="s">
        <v>27</v>
      </c>
      <c r="E27" s="18"/>
      <c r="F27" s="18"/>
      <c r="G27" s="18"/>
      <c r="H27" s="36"/>
      <c r="I27" s="36"/>
      <c r="J27" s="36"/>
      <c r="K27" s="36"/>
      <c r="L27" s="36"/>
      <c r="M27" s="45">
        <v>7762431</v>
      </c>
    </row>
    <row r="28" spans="1:13" ht="12.3">
      <c r="A28" s="7">
        <v>27</v>
      </c>
      <c r="B28" s="33">
        <v>45994</v>
      </c>
      <c r="C28" s="24"/>
      <c r="D28" s="18" t="s">
        <v>179</v>
      </c>
      <c r="E28" s="18"/>
      <c r="F28" s="18"/>
      <c r="G28" s="18"/>
      <c r="H28" s="18"/>
      <c r="I28" s="18"/>
      <c r="J28" s="18"/>
      <c r="K28" s="18"/>
      <c r="L28" s="18"/>
      <c r="M28" s="45" t="s">
        <v>132</v>
      </c>
    </row>
    <row r="29" spans="1:13" ht="36.9">
      <c r="A29" s="7">
        <v>28</v>
      </c>
      <c r="B29" s="33">
        <v>45994</v>
      </c>
      <c r="C29" s="21">
        <v>0.37569444444444444</v>
      </c>
      <c r="D29" s="22" t="s">
        <v>77</v>
      </c>
      <c r="E29" s="18"/>
      <c r="F29" s="18"/>
      <c r="G29" s="18"/>
      <c r="H29" s="18"/>
      <c r="I29" s="18"/>
      <c r="J29" s="18"/>
      <c r="K29" s="18"/>
      <c r="L29" s="18"/>
      <c r="M29" s="45" t="s">
        <v>139</v>
      </c>
    </row>
    <row r="30" spans="1:13" ht="36.9">
      <c r="A30" s="7">
        <v>29</v>
      </c>
      <c r="B30" s="33">
        <v>45994</v>
      </c>
      <c r="C30" s="24"/>
      <c r="D30" s="22" t="s">
        <v>140</v>
      </c>
      <c r="E30" s="18"/>
      <c r="F30" s="18"/>
      <c r="G30" s="18"/>
      <c r="H30" s="18"/>
      <c r="I30" s="18"/>
      <c r="J30" s="18"/>
      <c r="K30" s="18"/>
      <c r="L30" s="18"/>
      <c r="M30" s="45" t="s">
        <v>105</v>
      </c>
    </row>
    <row r="31" spans="1:13" ht="12.3">
      <c r="A31" s="7">
        <v>30</v>
      </c>
      <c r="B31" s="33">
        <v>45994</v>
      </c>
      <c r="C31" s="24"/>
      <c r="D31" s="22" t="s">
        <v>28</v>
      </c>
      <c r="E31" s="18"/>
      <c r="F31" s="18"/>
      <c r="G31" s="18"/>
      <c r="H31" s="18"/>
      <c r="I31" s="18"/>
      <c r="J31" s="18"/>
      <c r="K31" s="18"/>
      <c r="L31" s="18"/>
      <c r="M31" s="45" t="s">
        <v>133</v>
      </c>
    </row>
    <row r="32" spans="1:13" ht="12.3">
      <c r="A32" s="7">
        <v>31</v>
      </c>
      <c r="B32" s="33">
        <v>45994</v>
      </c>
      <c r="C32" s="24"/>
      <c r="D32" s="22" t="s">
        <v>14</v>
      </c>
      <c r="E32" s="18"/>
      <c r="F32" s="18"/>
      <c r="G32" s="18"/>
      <c r="H32" s="18"/>
      <c r="I32" s="18"/>
      <c r="J32" s="18"/>
      <c r="K32" s="18"/>
      <c r="L32" s="18"/>
      <c r="M32" s="9" t="s">
        <v>141</v>
      </c>
    </row>
    <row r="33" spans="1:13" ht="12.3">
      <c r="A33" s="7">
        <v>32</v>
      </c>
      <c r="B33" s="33"/>
      <c r="C33" s="24"/>
      <c r="D33" s="22"/>
      <c r="E33" s="18"/>
      <c r="F33" s="18"/>
      <c r="G33" s="18"/>
      <c r="H33" s="18"/>
      <c r="I33" s="18"/>
      <c r="J33" s="18"/>
      <c r="K33" s="18"/>
      <c r="L33" s="18"/>
      <c r="M33" s="9"/>
    </row>
    <row r="34" spans="1:13" ht="12.3">
      <c r="A34" s="7">
        <v>33</v>
      </c>
      <c r="B34" s="33"/>
      <c r="C34" s="24"/>
      <c r="D34" s="24"/>
      <c r="E34" s="18"/>
      <c r="F34" s="18"/>
      <c r="G34" s="18"/>
      <c r="H34" s="18"/>
      <c r="I34" s="18"/>
      <c r="J34" s="18"/>
      <c r="K34" s="18"/>
      <c r="L34" s="18"/>
      <c r="M34" s="9"/>
    </row>
    <row r="35" spans="1:13" ht="12.3">
      <c r="A35" s="7">
        <v>34</v>
      </c>
      <c r="B35" s="33"/>
      <c r="C35" s="24"/>
      <c r="D35" s="24"/>
      <c r="E35" s="18"/>
      <c r="F35" s="18"/>
      <c r="G35" s="18"/>
      <c r="H35" s="18"/>
      <c r="I35" s="18"/>
      <c r="J35" s="18"/>
      <c r="K35" s="18"/>
      <c r="L35" s="18"/>
      <c r="M35" s="9"/>
    </row>
    <row r="36" spans="1:13" ht="12.3">
      <c r="A36" s="7">
        <v>35</v>
      </c>
      <c r="B36" s="33"/>
      <c r="C36" s="24"/>
      <c r="D36" s="24"/>
      <c r="E36" s="18"/>
      <c r="F36" s="18"/>
      <c r="G36" s="18"/>
      <c r="H36" s="18"/>
      <c r="I36" s="18"/>
      <c r="J36" s="18"/>
      <c r="K36" s="18"/>
      <c r="L36" s="18"/>
      <c r="M36" s="9"/>
    </row>
    <row r="37" spans="1:13" ht="12.3">
      <c r="A37" s="7">
        <v>36</v>
      </c>
      <c r="B37" s="34"/>
      <c r="C37" s="34"/>
      <c r="D37" s="34"/>
      <c r="H37" s="1">
        <f>SUM(H2:H36)</f>
        <v>1811.2</v>
      </c>
      <c r="M37" s="10"/>
    </row>
    <row r="38" spans="1:13" ht="12.3">
      <c r="A38" s="34"/>
      <c r="B38" s="34"/>
      <c r="C38" s="34"/>
      <c r="D38" s="34"/>
      <c r="M38" s="10"/>
    </row>
    <row r="39" spans="1:13" ht="12.3">
      <c r="A39" s="34"/>
      <c r="B39" s="34"/>
      <c r="C39" s="34"/>
      <c r="D39" s="34"/>
      <c r="M39" s="10"/>
    </row>
    <row r="40" spans="1:13" ht="12.3">
      <c r="A40" s="34"/>
      <c r="B40" s="34"/>
      <c r="C40" s="34"/>
      <c r="D40" s="34"/>
      <c r="M40" s="10"/>
    </row>
    <row r="41" spans="1:13" ht="12.3">
      <c r="A41" s="34"/>
      <c r="B41" s="34"/>
      <c r="C41" s="34"/>
      <c r="D41" s="34"/>
      <c r="M41" s="10"/>
    </row>
    <row r="42" spans="1:13" ht="12.3">
      <c r="A42" s="34"/>
      <c r="B42" s="34"/>
      <c r="C42" s="34"/>
      <c r="D42" s="34"/>
      <c r="M42" s="10"/>
    </row>
    <row r="43" spans="1:13" ht="12.3">
      <c r="A43" s="34"/>
      <c r="B43" s="34"/>
      <c r="C43" s="34"/>
      <c r="D43" s="34"/>
      <c r="M43" s="10"/>
    </row>
    <row r="44" spans="1:13" ht="12.3">
      <c r="A44" s="34"/>
      <c r="B44" s="34"/>
      <c r="C44" s="34"/>
      <c r="D44" s="34"/>
      <c r="M44" s="10"/>
    </row>
    <row r="45" spans="1:13" ht="12.3">
      <c r="A45" s="34"/>
      <c r="B45" s="34"/>
      <c r="C45" s="34"/>
      <c r="D45" s="34"/>
      <c r="M45" s="10"/>
    </row>
    <row r="46" spans="1:13" ht="12.3">
      <c r="A46" s="34"/>
      <c r="B46" s="34"/>
      <c r="C46" s="34"/>
      <c r="D46" s="34"/>
      <c r="M46" s="10"/>
    </row>
    <row r="47" spans="1:13" ht="12.3">
      <c r="A47" s="34"/>
      <c r="B47" s="34"/>
      <c r="C47" s="34"/>
      <c r="D47" s="34"/>
      <c r="M47" s="10"/>
    </row>
    <row r="48" spans="1:13" ht="12.3">
      <c r="A48" s="34"/>
      <c r="B48" s="34"/>
      <c r="C48" s="34"/>
      <c r="D48" s="34"/>
      <c r="M48" s="10"/>
    </row>
    <row r="49" spans="1:13" ht="12.3">
      <c r="A49" s="34"/>
      <c r="B49" s="34"/>
      <c r="C49" s="34"/>
      <c r="D49" s="34"/>
      <c r="M49" s="10"/>
    </row>
    <row r="50" spans="1:13" ht="12.3">
      <c r="A50" s="34"/>
      <c r="B50" s="34"/>
      <c r="C50" s="34"/>
      <c r="D50" s="34"/>
      <c r="M50" s="10"/>
    </row>
    <row r="51" spans="1:13" ht="12.3">
      <c r="A51" s="34"/>
      <c r="B51" s="34"/>
      <c r="C51" s="34"/>
      <c r="D51" s="34"/>
      <c r="M51" s="10"/>
    </row>
    <row r="52" spans="1:13" ht="12.3">
      <c r="A52" s="34"/>
      <c r="B52" s="34"/>
      <c r="C52" s="34"/>
      <c r="D52" s="34"/>
      <c r="M52" s="10"/>
    </row>
    <row r="53" spans="1:13" ht="12.3">
      <c r="A53" s="34"/>
      <c r="B53" s="34"/>
      <c r="C53" s="34"/>
      <c r="D53" s="34"/>
      <c r="M53" s="10"/>
    </row>
    <row r="54" spans="1:13" ht="12.3">
      <c r="A54" s="34"/>
      <c r="B54" s="34"/>
      <c r="C54" s="34"/>
      <c r="D54" s="34"/>
      <c r="M54" s="10"/>
    </row>
    <row r="55" spans="1:13" ht="12.3">
      <c r="A55" s="34"/>
      <c r="B55" s="34"/>
      <c r="C55" s="34"/>
      <c r="D55" s="34"/>
      <c r="M55" s="10"/>
    </row>
    <row r="56" spans="1:13" ht="12.3">
      <c r="A56" s="34"/>
      <c r="B56" s="34"/>
      <c r="C56" s="34"/>
      <c r="D56" s="34"/>
      <c r="M56" s="10"/>
    </row>
    <row r="57" spans="1:13" ht="12.3">
      <c r="A57" s="34"/>
      <c r="B57" s="34"/>
      <c r="C57" s="34"/>
      <c r="D57" s="34"/>
      <c r="M57" s="10"/>
    </row>
    <row r="58" spans="1:13" ht="12.3">
      <c r="A58" s="34"/>
      <c r="B58" s="34"/>
      <c r="C58" s="34"/>
      <c r="D58" s="34"/>
      <c r="M58" s="10"/>
    </row>
    <row r="59" spans="1:13" ht="12.3">
      <c r="A59" s="34"/>
      <c r="B59" s="34"/>
      <c r="C59" s="34"/>
      <c r="D59" s="34"/>
      <c r="M59" s="10"/>
    </row>
    <row r="60" spans="1:13" ht="12.3">
      <c r="A60" s="34"/>
      <c r="B60" s="34"/>
      <c r="C60" s="34"/>
      <c r="D60" s="34"/>
      <c r="M60" s="10"/>
    </row>
    <row r="61" spans="1:13" ht="12.3">
      <c r="A61" s="34"/>
      <c r="B61" s="34"/>
      <c r="C61" s="34"/>
      <c r="D61" s="34"/>
      <c r="M61" s="10"/>
    </row>
    <row r="62" spans="1:13" ht="12.3">
      <c r="A62" s="34"/>
      <c r="B62" s="34"/>
      <c r="C62" s="34"/>
      <c r="D62" s="34"/>
      <c r="M62" s="10"/>
    </row>
    <row r="63" spans="1:13" ht="12.3">
      <c r="A63" s="34"/>
      <c r="B63" s="34"/>
      <c r="C63" s="34"/>
      <c r="D63" s="34"/>
      <c r="M63" s="10"/>
    </row>
    <row r="64" spans="1:13" ht="12.3">
      <c r="A64" s="34"/>
      <c r="B64" s="34"/>
      <c r="C64" s="34"/>
      <c r="D64" s="34"/>
      <c r="M64" s="10"/>
    </row>
    <row r="65" spans="1:13" ht="12.3">
      <c r="A65" s="34"/>
      <c r="B65" s="34"/>
      <c r="C65" s="34"/>
      <c r="D65" s="34"/>
      <c r="M65" s="10"/>
    </row>
    <row r="66" spans="1:13" ht="12.3">
      <c r="A66" s="34"/>
      <c r="B66" s="34"/>
      <c r="C66" s="34"/>
      <c r="D66" s="34"/>
      <c r="M66" s="10"/>
    </row>
    <row r="67" spans="1:13" ht="12.3">
      <c r="A67" s="34"/>
      <c r="B67" s="34"/>
      <c r="C67" s="34"/>
      <c r="D67" s="34"/>
      <c r="M67" s="10"/>
    </row>
    <row r="68" spans="1:13" ht="12.3">
      <c r="A68" s="34"/>
      <c r="B68" s="34"/>
      <c r="C68" s="34"/>
      <c r="D68" s="34"/>
      <c r="M68" s="10"/>
    </row>
    <row r="69" spans="1:13" ht="12.3">
      <c r="A69" s="34"/>
      <c r="B69" s="34"/>
      <c r="C69" s="34"/>
      <c r="D69" s="34"/>
      <c r="M69" s="10"/>
    </row>
    <row r="70" spans="1:13" ht="12.3">
      <c r="A70" s="34"/>
      <c r="B70" s="34"/>
      <c r="C70" s="34"/>
      <c r="D70" s="34"/>
      <c r="M70" s="10"/>
    </row>
    <row r="71" spans="1:13" ht="12.3">
      <c r="A71" s="34"/>
      <c r="B71" s="34"/>
      <c r="C71" s="34"/>
      <c r="D71" s="34"/>
      <c r="M71" s="10"/>
    </row>
    <row r="72" spans="1:13" ht="12.3">
      <c r="A72" s="34"/>
      <c r="B72" s="34"/>
      <c r="C72" s="34"/>
      <c r="D72" s="34"/>
      <c r="M72" s="10"/>
    </row>
    <row r="73" spans="1:13" ht="12.3">
      <c r="A73" s="34"/>
      <c r="B73" s="34"/>
      <c r="C73" s="34"/>
      <c r="D73" s="34"/>
      <c r="M73" s="10"/>
    </row>
    <row r="74" spans="1:13" ht="12.3">
      <c r="A74" s="34"/>
      <c r="B74" s="34"/>
      <c r="C74" s="34"/>
      <c r="D74" s="34"/>
      <c r="M74" s="10"/>
    </row>
    <row r="75" spans="1:13" ht="12.3">
      <c r="A75" s="34"/>
      <c r="B75" s="34"/>
      <c r="C75" s="34"/>
      <c r="D75" s="34"/>
      <c r="M75" s="10"/>
    </row>
    <row r="76" spans="1:13" ht="12.3">
      <c r="A76" s="34"/>
      <c r="B76" s="34"/>
      <c r="C76" s="34"/>
      <c r="D76" s="34"/>
      <c r="M76" s="10"/>
    </row>
    <row r="77" spans="1:13" ht="12.3">
      <c r="A77" s="34"/>
      <c r="B77" s="34"/>
      <c r="C77" s="34"/>
      <c r="D77" s="34"/>
      <c r="M77" s="10"/>
    </row>
    <row r="78" spans="1:13" ht="12.3">
      <c r="A78" s="34"/>
      <c r="B78" s="34"/>
      <c r="C78" s="34"/>
      <c r="D78" s="34"/>
      <c r="M78" s="10"/>
    </row>
    <row r="79" spans="1:13" ht="12.3">
      <c r="A79" s="34"/>
      <c r="B79" s="34"/>
      <c r="C79" s="34"/>
      <c r="D79" s="34"/>
      <c r="M79" s="10"/>
    </row>
    <row r="80" spans="1:13" ht="12.3">
      <c r="A80" s="34"/>
      <c r="B80" s="34"/>
      <c r="C80" s="34"/>
      <c r="D80" s="34"/>
      <c r="M80" s="10"/>
    </row>
    <row r="81" spans="1:13" ht="12.3">
      <c r="A81" s="34"/>
      <c r="B81" s="34"/>
      <c r="C81" s="34"/>
      <c r="D81" s="34"/>
      <c r="M81" s="10"/>
    </row>
    <row r="82" spans="1:13" ht="12.3">
      <c r="A82" s="34"/>
      <c r="B82" s="34"/>
      <c r="C82" s="34"/>
      <c r="D82" s="34"/>
      <c r="M82" s="10"/>
    </row>
    <row r="83" spans="1:13" ht="12.3">
      <c r="A83" s="34"/>
      <c r="B83" s="34"/>
      <c r="C83" s="34"/>
      <c r="D83" s="34"/>
      <c r="M83" s="10"/>
    </row>
    <row r="84" spans="1:13" ht="12.3">
      <c r="A84" s="34"/>
      <c r="B84" s="34"/>
      <c r="C84" s="34"/>
      <c r="D84" s="34"/>
      <c r="M84" s="10"/>
    </row>
    <row r="85" spans="1:13" ht="12.3">
      <c r="A85" s="34"/>
      <c r="B85" s="34"/>
      <c r="C85" s="34"/>
      <c r="D85" s="34"/>
      <c r="M85" s="10"/>
    </row>
    <row r="86" spans="1:13" ht="12.3">
      <c r="A86" s="34"/>
      <c r="B86" s="34"/>
      <c r="C86" s="34"/>
      <c r="D86" s="34"/>
      <c r="M86" s="10"/>
    </row>
    <row r="87" spans="1:13" ht="12.3">
      <c r="A87" s="34"/>
      <c r="B87" s="34"/>
      <c r="C87" s="34"/>
      <c r="D87" s="34"/>
      <c r="M87" s="10"/>
    </row>
    <row r="88" spans="1:13" ht="12.3">
      <c r="A88" s="34"/>
      <c r="B88" s="34"/>
      <c r="C88" s="34"/>
      <c r="D88" s="34"/>
      <c r="M88" s="10"/>
    </row>
    <row r="89" spans="1:13" ht="12.3">
      <c r="A89" s="34"/>
      <c r="B89" s="34"/>
      <c r="C89" s="34"/>
      <c r="D89" s="34"/>
      <c r="M89" s="10"/>
    </row>
    <row r="90" spans="1:13" ht="12.3">
      <c r="A90" s="34"/>
      <c r="B90" s="34"/>
      <c r="C90" s="34"/>
      <c r="D90" s="34"/>
      <c r="M90" s="10"/>
    </row>
    <row r="91" spans="1:13" ht="12.3">
      <c r="A91" s="34"/>
      <c r="B91" s="34"/>
      <c r="C91" s="34"/>
      <c r="D91" s="34"/>
      <c r="M91" s="10"/>
    </row>
    <row r="92" spans="1:13" ht="12.3">
      <c r="A92" s="34"/>
      <c r="B92" s="34"/>
      <c r="C92" s="34"/>
      <c r="D92" s="34"/>
      <c r="M92" s="10"/>
    </row>
    <row r="93" spans="1:13" ht="12.3">
      <c r="A93" s="34"/>
      <c r="B93" s="34"/>
      <c r="C93" s="34"/>
      <c r="D93" s="34"/>
      <c r="M93" s="10"/>
    </row>
    <row r="94" spans="1:13" ht="12.3">
      <c r="A94" s="34"/>
      <c r="B94" s="34"/>
      <c r="C94" s="34"/>
      <c r="D94" s="34"/>
      <c r="M94" s="10"/>
    </row>
    <row r="95" spans="1:13" ht="12.3">
      <c r="A95" s="34"/>
      <c r="B95" s="34"/>
      <c r="C95" s="34"/>
      <c r="D95" s="34"/>
      <c r="M95" s="10"/>
    </row>
    <row r="96" spans="1:13" ht="12.3">
      <c r="A96" s="34"/>
      <c r="B96" s="34"/>
      <c r="C96" s="34"/>
      <c r="D96" s="34"/>
      <c r="M96" s="10"/>
    </row>
    <row r="97" spans="1:13" ht="12.3">
      <c r="A97" s="34"/>
      <c r="B97" s="34"/>
      <c r="C97" s="34"/>
      <c r="D97" s="34"/>
      <c r="M97" s="10"/>
    </row>
    <row r="98" spans="1:13" ht="12.3">
      <c r="A98" s="34"/>
      <c r="B98" s="34"/>
      <c r="C98" s="34"/>
      <c r="D98" s="34"/>
      <c r="M98" s="10"/>
    </row>
    <row r="99" spans="1:13" ht="12.3">
      <c r="A99" s="34"/>
      <c r="B99" s="34"/>
      <c r="C99" s="34"/>
      <c r="D99" s="34"/>
      <c r="M99" s="10"/>
    </row>
    <row r="100" spans="1:13" ht="12.3">
      <c r="A100" s="34"/>
      <c r="B100" s="34"/>
      <c r="C100" s="34"/>
      <c r="D100" s="34"/>
      <c r="M100" s="10"/>
    </row>
    <row r="101" spans="1:13" ht="12.3">
      <c r="A101" s="34"/>
      <c r="B101" s="34"/>
      <c r="C101" s="34"/>
      <c r="D101" s="34"/>
      <c r="M101" s="10"/>
    </row>
    <row r="102" spans="1:13" ht="12.3">
      <c r="A102" s="34"/>
      <c r="B102" s="34"/>
      <c r="C102" s="34"/>
      <c r="D102" s="34"/>
      <c r="M102" s="10"/>
    </row>
    <row r="103" spans="1:13" ht="12.3">
      <c r="A103" s="34"/>
      <c r="B103" s="34"/>
      <c r="C103" s="34"/>
      <c r="D103" s="34"/>
      <c r="M103" s="10"/>
    </row>
    <row r="104" spans="1:13" ht="12.3">
      <c r="A104" s="34"/>
      <c r="B104" s="34"/>
      <c r="C104" s="34"/>
      <c r="D104" s="34"/>
      <c r="M104" s="10"/>
    </row>
    <row r="105" spans="1:13" ht="12.3">
      <c r="A105" s="34"/>
      <c r="B105" s="34"/>
      <c r="C105" s="34"/>
      <c r="D105" s="34"/>
      <c r="M105" s="10"/>
    </row>
    <row r="106" spans="1:13" ht="12.3">
      <c r="A106" s="34"/>
      <c r="B106" s="34"/>
      <c r="C106" s="34"/>
      <c r="D106" s="34"/>
      <c r="M106" s="10"/>
    </row>
    <row r="107" spans="1:13" ht="12.3">
      <c r="A107" s="34"/>
      <c r="B107" s="34"/>
      <c r="C107" s="34"/>
      <c r="D107" s="34"/>
      <c r="M107" s="10"/>
    </row>
    <row r="108" spans="1:13" ht="12.3">
      <c r="A108" s="34"/>
      <c r="B108" s="34"/>
      <c r="C108" s="34"/>
      <c r="D108" s="34"/>
      <c r="M108" s="10"/>
    </row>
    <row r="109" spans="1:13" ht="12.3">
      <c r="A109" s="34"/>
      <c r="B109" s="34"/>
      <c r="C109" s="34"/>
      <c r="D109" s="34"/>
      <c r="M109" s="10"/>
    </row>
    <row r="110" spans="1:13" ht="12.3">
      <c r="A110" s="34"/>
      <c r="B110" s="34"/>
      <c r="C110" s="34"/>
      <c r="D110" s="34"/>
      <c r="M110" s="10"/>
    </row>
    <row r="111" spans="1:13" ht="12.3">
      <c r="A111" s="34"/>
      <c r="B111" s="34"/>
      <c r="C111" s="34"/>
      <c r="D111" s="34"/>
      <c r="M111" s="10"/>
    </row>
    <row r="112" spans="1:13" ht="12.3">
      <c r="A112" s="34"/>
      <c r="B112" s="34"/>
      <c r="C112" s="34"/>
      <c r="D112" s="34"/>
      <c r="M112" s="10"/>
    </row>
    <row r="113" spans="1:13" ht="12.3">
      <c r="A113" s="34"/>
      <c r="B113" s="34"/>
      <c r="C113" s="34"/>
      <c r="D113" s="34"/>
      <c r="M113" s="10"/>
    </row>
    <row r="114" spans="1:13" ht="12.3">
      <c r="A114" s="34"/>
      <c r="B114" s="34"/>
      <c r="C114" s="34"/>
      <c r="D114" s="34"/>
      <c r="M114" s="10"/>
    </row>
    <row r="115" spans="1:13" ht="12.3">
      <c r="A115" s="34"/>
      <c r="B115" s="34"/>
      <c r="C115" s="34"/>
      <c r="D115" s="34"/>
      <c r="M115" s="10"/>
    </row>
    <row r="116" spans="1:13" ht="12.3">
      <c r="A116" s="34"/>
      <c r="B116" s="34"/>
      <c r="C116" s="34"/>
      <c r="D116" s="34"/>
      <c r="M116" s="10"/>
    </row>
    <row r="117" spans="1:13" ht="12.3">
      <c r="A117" s="34"/>
      <c r="B117" s="34"/>
      <c r="C117" s="34"/>
      <c r="D117" s="34"/>
      <c r="M117" s="10"/>
    </row>
    <row r="118" spans="1:13" ht="12.3">
      <c r="A118" s="34"/>
      <c r="B118" s="34"/>
      <c r="C118" s="34"/>
      <c r="D118" s="34"/>
      <c r="M118" s="10"/>
    </row>
    <row r="119" spans="1:13" ht="12.3">
      <c r="A119" s="34"/>
      <c r="B119" s="34"/>
      <c r="C119" s="34"/>
      <c r="D119" s="34"/>
      <c r="M119" s="10"/>
    </row>
    <row r="120" spans="1:13" ht="12.3">
      <c r="A120" s="34"/>
      <c r="B120" s="34"/>
      <c r="C120" s="34"/>
      <c r="D120" s="34"/>
      <c r="M120" s="10"/>
    </row>
    <row r="121" spans="1:13" ht="12.3">
      <c r="A121" s="34"/>
      <c r="B121" s="34"/>
      <c r="C121" s="34"/>
      <c r="D121" s="34"/>
      <c r="M121" s="10"/>
    </row>
    <row r="122" spans="1:13" ht="12.3">
      <c r="A122" s="34"/>
      <c r="B122" s="34"/>
      <c r="C122" s="34"/>
      <c r="D122" s="34"/>
      <c r="M122" s="10"/>
    </row>
    <row r="123" spans="1:13" ht="12.3">
      <c r="A123" s="34"/>
      <c r="B123" s="34"/>
      <c r="C123" s="34"/>
      <c r="D123" s="34"/>
      <c r="M123" s="10"/>
    </row>
    <row r="124" spans="1:13" ht="12.3">
      <c r="A124" s="34"/>
      <c r="B124" s="34"/>
      <c r="C124" s="34"/>
      <c r="D124" s="34"/>
      <c r="M124" s="10"/>
    </row>
    <row r="125" spans="1:13" ht="12.3">
      <c r="A125" s="34"/>
      <c r="B125" s="34"/>
      <c r="C125" s="34"/>
      <c r="D125" s="34"/>
      <c r="M125" s="10"/>
    </row>
    <row r="126" spans="1:13" ht="12.3">
      <c r="A126" s="34"/>
      <c r="B126" s="34"/>
      <c r="C126" s="34"/>
      <c r="D126" s="34"/>
      <c r="M126" s="10"/>
    </row>
    <row r="127" spans="1:13" ht="12.3">
      <c r="A127" s="34"/>
      <c r="B127" s="34"/>
      <c r="C127" s="34"/>
      <c r="D127" s="34"/>
      <c r="M127" s="10"/>
    </row>
    <row r="128" spans="1:13" ht="12.3">
      <c r="A128" s="34"/>
      <c r="B128" s="34"/>
      <c r="C128" s="34"/>
      <c r="D128" s="34"/>
      <c r="M128" s="10"/>
    </row>
    <row r="129" spans="1:13" ht="12.3">
      <c r="A129" s="34"/>
      <c r="B129" s="34"/>
      <c r="C129" s="34"/>
      <c r="D129" s="34"/>
      <c r="M129" s="10"/>
    </row>
    <row r="130" spans="1:13" ht="12.3">
      <c r="A130" s="34"/>
      <c r="B130" s="34"/>
      <c r="C130" s="34"/>
      <c r="D130" s="34"/>
      <c r="M130" s="10"/>
    </row>
    <row r="131" spans="1:13" ht="12.3">
      <c r="A131" s="34"/>
      <c r="B131" s="34"/>
      <c r="C131" s="34"/>
      <c r="D131" s="34"/>
      <c r="M131" s="10"/>
    </row>
    <row r="132" spans="1:13" ht="12.3">
      <c r="A132" s="34"/>
      <c r="B132" s="34"/>
      <c r="C132" s="34"/>
      <c r="D132" s="34"/>
      <c r="M132" s="10"/>
    </row>
    <row r="133" spans="1:13" ht="12.3">
      <c r="A133" s="34"/>
      <c r="B133" s="34"/>
      <c r="C133" s="34"/>
      <c r="D133" s="34"/>
      <c r="M133" s="10"/>
    </row>
    <row r="134" spans="1:13" ht="12.3">
      <c r="A134" s="34"/>
      <c r="B134" s="34"/>
      <c r="C134" s="34"/>
      <c r="D134" s="34"/>
      <c r="M134" s="10"/>
    </row>
    <row r="135" spans="1:13" ht="12.3">
      <c r="A135" s="34"/>
      <c r="B135" s="34"/>
      <c r="C135" s="34"/>
      <c r="D135" s="34"/>
      <c r="M135" s="10"/>
    </row>
    <row r="136" spans="1:13" ht="12.3">
      <c r="A136" s="34"/>
      <c r="B136" s="34"/>
      <c r="C136" s="34"/>
      <c r="D136" s="34"/>
      <c r="M136" s="10"/>
    </row>
    <row r="137" spans="1:13" ht="12.3">
      <c r="A137" s="34"/>
      <c r="B137" s="34"/>
      <c r="C137" s="34"/>
      <c r="D137" s="34"/>
      <c r="M137" s="10"/>
    </row>
    <row r="138" spans="1:13" ht="12.3">
      <c r="A138" s="34"/>
      <c r="B138" s="34"/>
      <c r="C138" s="34"/>
      <c r="D138" s="34"/>
      <c r="M138" s="10"/>
    </row>
    <row r="139" spans="1:13" ht="12.3">
      <c r="A139" s="34"/>
      <c r="B139" s="34"/>
      <c r="C139" s="34"/>
      <c r="D139" s="34"/>
      <c r="M139" s="10"/>
    </row>
    <row r="140" spans="1:13" ht="12.3">
      <c r="A140" s="34"/>
      <c r="B140" s="34"/>
      <c r="C140" s="34"/>
      <c r="D140" s="34"/>
      <c r="M140" s="10"/>
    </row>
    <row r="141" spans="1:13" ht="12.3">
      <c r="A141" s="34"/>
      <c r="B141" s="34"/>
      <c r="C141" s="34"/>
      <c r="D141" s="34"/>
      <c r="M141" s="10"/>
    </row>
    <row r="142" spans="1:13" ht="12.3">
      <c r="A142" s="34"/>
      <c r="B142" s="34"/>
      <c r="C142" s="34"/>
      <c r="D142" s="34"/>
      <c r="M142" s="10"/>
    </row>
    <row r="143" spans="1:13" ht="12.3">
      <c r="A143" s="34"/>
      <c r="B143" s="34"/>
      <c r="C143" s="34"/>
      <c r="D143" s="34"/>
      <c r="M143" s="10"/>
    </row>
    <row r="144" spans="1:13" ht="12.3">
      <c r="A144" s="34"/>
      <c r="B144" s="34"/>
      <c r="C144" s="34"/>
      <c r="D144" s="34"/>
      <c r="M144" s="10"/>
    </row>
    <row r="145" spans="1:13" ht="12.3">
      <c r="A145" s="34"/>
      <c r="B145" s="34"/>
      <c r="C145" s="34"/>
      <c r="D145" s="34"/>
      <c r="M145" s="10"/>
    </row>
    <row r="146" spans="1:13" ht="12.3">
      <c r="A146" s="34"/>
      <c r="B146" s="34"/>
      <c r="C146" s="34"/>
      <c r="D146" s="34"/>
      <c r="M146" s="10"/>
    </row>
    <row r="147" spans="1:13" ht="12.3">
      <c r="A147" s="34"/>
      <c r="B147" s="34"/>
      <c r="C147" s="34"/>
      <c r="D147" s="34"/>
      <c r="M147" s="10"/>
    </row>
    <row r="148" spans="1:13" ht="12.3">
      <c r="A148" s="34"/>
      <c r="B148" s="34"/>
      <c r="C148" s="34"/>
      <c r="D148" s="34"/>
      <c r="M148" s="10"/>
    </row>
    <row r="149" spans="1:13" ht="12.3">
      <c r="A149" s="34"/>
      <c r="B149" s="34"/>
      <c r="C149" s="34"/>
      <c r="D149" s="34"/>
      <c r="M149" s="10"/>
    </row>
    <row r="150" spans="1:13" ht="12.3">
      <c r="A150" s="34"/>
      <c r="B150" s="34"/>
      <c r="C150" s="34"/>
      <c r="D150" s="34"/>
      <c r="M150" s="10"/>
    </row>
    <row r="151" spans="1:13" ht="12.3">
      <c r="A151" s="34"/>
      <c r="B151" s="34"/>
      <c r="C151" s="34"/>
      <c r="D151" s="34"/>
      <c r="M151" s="10"/>
    </row>
    <row r="152" spans="1:13" ht="12.3">
      <c r="A152" s="34"/>
      <c r="B152" s="34"/>
      <c r="C152" s="34"/>
      <c r="D152" s="34"/>
      <c r="M152" s="10"/>
    </row>
    <row r="153" spans="1:13" ht="12.3">
      <c r="A153" s="34"/>
      <c r="B153" s="34"/>
      <c r="C153" s="34"/>
      <c r="D153" s="34"/>
      <c r="M153" s="10"/>
    </row>
    <row r="154" spans="1:13" ht="12.3">
      <c r="A154" s="34"/>
      <c r="B154" s="34"/>
      <c r="C154" s="34"/>
      <c r="D154" s="34"/>
      <c r="M154" s="10"/>
    </row>
    <row r="155" spans="1:13" ht="12.3">
      <c r="A155" s="34"/>
      <c r="B155" s="34"/>
      <c r="C155" s="34"/>
      <c r="D155" s="34"/>
      <c r="M155" s="10"/>
    </row>
    <row r="156" spans="1:13" ht="12.3">
      <c r="A156" s="34"/>
      <c r="B156" s="34"/>
      <c r="C156" s="34"/>
      <c r="D156" s="34"/>
      <c r="M156" s="10"/>
    </row>
    <row r="157" spans="1:13" ht="12.3">
      <c r="A157" s="34"/>
      <c r="B157" s="34"/>
      <c r="C157" s="34"/>
      <c r="D157" s="34"/>
      <c r="M157" s="10"/>
    </row>
    <row r="158" spans="1:13" ht="12.3">
      <c r="A158" s="34"/>
      <c r="B158" s="34"/>
      <c r="C158" s="34"/>
      <c r="D158" s="34"/>
      <c r="M158" s="10"/>
    </row>
    <row r="159" spans="1:13" ht="12.3">
      <c r="A159" s="34"/>
      <c r="B159" s="34"/>
      <c r="C159" s="34"/>
      <c r="D159" s="34"/>
      <c r="M159" s="10"/>
    </row>
    <row r="160" spans="1:13" ht="12.3">
      <c r="A160" s="34"/>
      <c r="B160" s="34"/>
      <c r="C160" s="34"/>
      <c r="D160" s="34"/>
      <c r="M160" s="10"/>
    </row>
    <row r="161" spans="1:13" ht="12.3">
      <c r="A161" s="34"/>
      <c r="B161" s="34"/>
      <c r="C161" s="34"/>
      <c r="D161" s="34"/>
      <c r="M161" s="10"/>
    </row>
    <row r="162" spans="1:13" ht="12.3">
      <c r="A162" s="34"/>
      <c r="B162" s="34"/>
      <c r="C162" s="34"/>
      <c r="D162" s="34"/>
      <c r="M162" s="10"/>
    </row>
    <row r="163" spans="1:13" ht="12.3">
      <c r="A163" s="34"/>
      <c r="B163" s="34"/>
      <c r="C163" s="34"/>
      <c r="D163" s="34"/>
      <c r="M163" s="10"/>
    </row>
    <row r="164" spans="1:13" ht="12.3">
      <c r="A164" s="34"/>
      <c r="B164" s="34"/>
      <c r="C164" s="34"/>
      <c r="D164" s="34"/>
      <c r="M164" s="10"/>
    </row>
    <row r="165" spans="1:13" ht="12.3">
      <c r="A165" s="34"/>
      <c r="B165" s="34"/>
      <c r="C165" s="34"/>
      <c r="D165" s="34"/>
      <c r="M165" s="10"/>
    </row>
    <row r="166" spans="1:13" ht="12.3">
      <c r="A166" s="34"/>
      <c r="B166" s="34"/>
      <c r="C166" s="34"/>
      <c r="D166" s="34"/>
      <c r="M166" s="10"/>
    </row>
    <row r="167" spans="1:13" ht="12.3">
      <c r="A167" s="34"/>
      <c r="B167" s="34"/>
      <c r="C167" s="34"/>
      <c r="D167" s="34"/>
      <c r="M167" s="10"/>
    </row>
    <row r="168" spans="1:13" ht="12.3">
      <c r="A168" s="34"/>
      <c r="B168" s="34"/>
      <c r="C168" s="34"/>
      <c r="D168" s="34"/>
      <c r="M168" s="10"/>
    </row>
    <row r="169" spans="1:13" ht="12.3">
      <c r="A169" s="34"/>
      <c r="B169" s="34"/>
      <c r="C169" s="34"/>
      <c r="D169" s="34"/>
      <c r="M169" s="10"/>
    </row>
    <row r="170" spans="1:13" ht="12.3">
      <c r="A170" s="34"/>
      <c r="B170" s="34"/>
      <c r="C170" s="34"/>
      <c r="D170" s="34"/>
      <c r="M170" s="10"/>
    </row>
    <row r="171" spans="1:13" ht="12.3">
      <c r="A171" s="34"/>
      <c r="B171" s="34"/>
      <c r="C171" s="34"/>
      <c r="D171" s="34"/>
      <c r="M171" s="10"/>
    </row>
    <row r="172" spans="1:13" ht="12.3">
      <c r="A172" s="34"/>
      <c r="B172" s="34"/>
      <c r="C172" s="34"/>
      <c r="D172" s="34"/>
      <c r="M172" s="10"/>
    </row>
    <row r="173" spans="1:13" ht="12.3">
      <c r="A173" s="34"/>
      <c r="B173" s="34"/>
      <c r="C173" s="34"/>
      <c r="D173" s="34"/>
      <c r="M173" s="10"/>
    </row>
    <row r="174" spans="1:13" ht="12.3">
      <c r="A174" s="34"/>
      <c r="B174" s="34"/>
      <c r="C174" s="34"/>
      <c r="D174" s="34"/>
      <c r="M174" s="10"/>
    </row>
    <row r="175" spans="1:13" ht="12.3">
      <c r="A175" s="34"/>
      <c r="B175" s="34"/>
      <c r="C175" s="34"/>
      <c r="D175" s="34"/>
      <c r="M175" s="10"/>
    </row>
    <row r="176" spans="1:13" ht="12.3">
      <c r="A176" s="34"/>
      <c r="B176" s="34"/>
      <c r="C176" s="34"/>
      <c r="D176" s="34"/>
      <c r="M176" s="10"/>
    </row>
    <row r="177" spans="1:13" ht="12.3">
      <c r="A177" s="34"/>
      <c r="B177" s="34"/>
      <c r="C177" s="34"/>
      <c r="D177" s="34"/>
      <c r="M177" s="10"/>
    </row>
    <row r="178" spans="1:13" ht="12.3">
      <c r="A178" s="34"/>
      <c r="B178" s="34"/>
      <c r="C178" s="34"/>
      <c r="D178" s="34"/>
      <c r="M178" s="10"/>
    </row>
    <row r="179" spans="1:13" ht="12.3">
      <c r="A179" s="34"/>
      <c r="B179" s="34"/>
      <c r="C179" s="34"/>
      <c r="D179" s="34"/>
      <c r="M179" s="10"/>
    </row>
    <row r="180" spans="1:13" ht="12.3">
      <c r="A180" s="34"/>
      <c r="B180" s="34"/>
      <c r="C180" s="34"/>
      <c r="D180" s="34"/>
      <c r="M180" s="10"/>
    </row>
    <row r="181" spans="1:13" ht="12.3">
      <c r="A181" s="34"/>
      <c r="B181" s="34"/>
      <c r="C181" s="34"/>
      <c r="D181" s="34"/>
      <c r="M181" s="10"/>
    </row>
    <row r="182" spans="1:13" ht="12.3">
      <c r="A182" s="34"/>
      <c r="B182" s="34"/>
      <c r="C182" s="34"/>
      <c r="D182" s="34"/>
      <c r="M182" s="10"/>
    </row>
    <row r="183" spans="1:13" ht="12.3">
      <c r="A183" s="34"/>
      <c r="B183" s="34"/>
      <c r="C183" s="34"/>
      <c r="D183" s="34"/>
      <c r="M183" s="10"/>
    </row>
    <row r="184" spans="1:13" ht="12.3">
      <c r="A184" s="34"/>
      <c r="B184" s="34"/>
      <c r="C184" s="34"/>
      <c r="D184" s="34"/>
      <c r="M184" s="10"/>
    </row>
    <row r="185" spans="1:13" ht="12.3">
      <c r="A185" s="34"/>
      <c r="B185" s="34"/>
      <c r="C185" s="34"/>
      <c r="D185" s="34"/>
      <c r="M185" s="10"/>
    </row>
    <row r="186" spans="1:13" ht="12.3">
      <c r="A186" s="34"/>
      <c r="B186" s="34"/>
      <c r="C186" s="34"/>
      <c r="D186" s="34"/>
      <c r="M186" s="10"/>
    </row>
    <row r="187" spans="1:13" ht="12.3">
      <c r="A187" s="34"/>
      <c r="B187" s="34"/>
      <c r="C187" s="34"/>
      <c r="D187" s="34"/>
      <c r="M187" s="10"/>
    </row>
    <row r="188" spans="1:13" ht="12.3">
      <c r="A188" s="34"/>
      <c r="B188" s="34"/>
      <c r="C188" s="34"/>
      <c r="D188" s="34"/>
      <c r="M188" s="10"/>
    </row>
    <row r="189" spans="1:13" ht="12.3">
      <c r="A189" s="34"/>
      <c r="B189" s="34"/>
      <c r="C189" s="34"/>
      <c r="D189" s="34"/>
      <c r="M189" s="10"/>
    </row>
    <row r="190" spans="1:13" ht="12.3">
      <c r="A190" s="34"/>
      <c r="B190" s="34"/>
      <c r="C190" s="34"/>
      <c r="D190" s="34"/>
      <c r="M190" s="10"/>
    </row>
    <row r="191" spans="1:13" ht="12.3">
      <c r="A191" s="34"/>
      <c r="B191" s="34"/>
      <c r="C191" s="34"/>
      <c r="D191" s="34"/>
      <c r="M191" s="10"/>
    </row>
    <row r="192" spans="1:13" ht="12.3">
      <c r="A192" s="34"/>
      <c r="B192" s="34"/>
      <c r="C192" s="34"/>
      <c r="D192" s="34"/>
      <c r="M192" s="10"/>
    </row>
    <row r="193" spans="1:13" ht="12.3">
      <c r="A193" s="34"/>
      <c r="B193" s="34"/>
      <c r="C193" s="34"/>
      <c r="D193" s="34"/>
      <c r="M193" s="10"/>
    </row>
    <row r="194" spans="1:13" ht="12.3">
      <c r="A194" s="34"/>
      <c r="B194" s="34"/>
      <c r="C194" s="34"/>
      <c r="D194" s="34"/>
      <c r="M194" s="10"/>
    </row>
    <row r="195" spans="1:13" ht="12.3">
      <c r="A195" s="34"/>
      <c r="B195" s="34"/>
      <c r="C195" s="34"/>
      <c r="D195" s="34"/>
      <c r="M195" s="10"/>
    </row>
    <row r="196" spans="1:13" ht="12.3">
      <c r="A196" s="34"/>
      <c r="B196" s="34"/>
      <c r="C196" s="34"/>
      <c r="D196" s="34"/>
      <c r="M196" s="10"/>
    </row>
    <row r="197" spans="1:13" ht="12.3">
      <c r="A197" s="34"/>
      <c r="B197" s="34"/>
      <c r="C197" s="34"/>
      <c r="D197" s="34"/>
      <c r="M197" s="10"/>
    </row>
    <row r="198" spans="1:13" ht="12.3">
      <c r="A198" s="34"/>
      <c r="B198" s="34"/>
      <c r="C198" s="34"/>
      <c r="D198" s="34"/>
      <c r="M198" s="10"/>
    </row>
    <row r="199" spans="1:13" ht="12.3">
      <c r="A199" s="34"/>
      <c r="B199" s="34"/>
      <c r="C199" s="34"/>
      <c r="D199" s="34"/>
      <c r="M199" s="10"/>
    </row>
    <row r="200" spans="1:13" ht="12.3">
      <c r="A200" s="34"/>
      <c r="B200" s="34"/>
      <c r="C200" s="34"/>
      <c r="D200" s="34"/>
      <c r="M200" s="10"/>
    </row>
    <row r="201" spans="1:13" ht="12.3">
      <c r="A201" s="34"/>
      <c r="B201" s="34"/>
      <c r="C201" s="34"/>
      <c r="D201" s="34"/>
      <c r="M201" s="10"/>
    </row>
    <row r="202" spans="1:13" ht="12.3">
      <c r="A202" s="34"/>
      <c r="B202" s="34"/>
      <c r="C202" s="34"/>
      <c r="D202" s="34"/>
      <c r="M202" s="10"/>
    </row>
    <row r="203" spans="1:13" ht="12.3">
      <c r="A203" s="34"/>
      <c r="B203" s="34"/>
      <c r="C203" s="34"/>
      <c r="D203" s="34"/>
      <c r="M203" s="10"/>
    </row>
    <row r="204" spans="1:13" ht="12.3">
      <c r="A204" s="34"/>
      <c r="B204" s="34"/>
      <c r="C204" s="34"/>
      <c r="D204" s="34"/>
      <c r="M204" s="10"/>
    </row>
    <row r="205" spans="1:13" ht="12.3">
      <c r="A205" s="34"/>
      <c r="B205" s="34"/>
      <c r="C205" s="34"/>
      <c r="D205" s="34"/>
      <c r="M205" s="10"/>
    </row>
    <row r="206" spans="1:13" ht="12.3">
      <c r="A206" s="34"/>
      <c r="B206" s="34"/>
      <c r="C206" s="34"/>
      <c r="D206" s="34"/>
      <c r="M206" s="10"/>
    </row>
    <row r="207" spans="1:13" ht="12.3">
      <c r="A207" s="34"/>
      <c r="B207" s="34"/>
      <c r="C207" s="34"/>
      <c r="D207" s="34"/>
      <c r="M207" s="10"/>
    </row>
    <row r="208" spans="1:13" ht="12.3">
      <c r="A208" s="34"/>
      <c r="B208" s="34"/>
      <c r="C208" s="34"/>
      <c r="D208" s="34"/>
      <c r="M208" s="10"/>
    </row>
    <row r="209" spans="1:13" ht="12.3">
      <c r="A209" s="34"/>
      <c r="B209" s="34"/>
      <c r="C209" s="34"/>
      <c r="D209" s="34"/>
      <c r="M209" s="10"/>
    </row>
    <row r="210" spans="1:13" ht="12.3">
      <c r="A210" s="34"/>
      <c r="B210" s="34"/>
      <c r="C210" s="34"/>
      <c r="D210" s="34"/>
      <c r="M210" s="10"/>
    </row>
    <row r="211" spans="1:13" ht="12.3">
      <c r="A211" s="34"/>
      <c r="B211" s="34"/>
      <c r="C211" s="34"/>
      <c r="D211" s="34"/>
      <c r="M211" s="10"/>
    </row>
    <row r="212" spans="1:13" ht="12.3">
      <c r="A212" s="34"/>
      <c r="B212" s="34"/>
      <c r="C212" s="34"/>
      <c r="D212" s="34"/>
      <c r="M212" s="10"/>
    </row>
    <row r="213" spans="1:13" ht="12.3">
      <c r="A213" s="34"/>
      <c r="B213" s="34"/>
      <c r="C213" s="34"/>
      <c r="D213" s="34"/>
      <c r="M213" s="10"/>
    </row>
    <row r="214" spans="1:13" ht="12.3">
      <c r="A214" s="34"/>
      <c r="B214" s="34"/>
      <c r="C214" s="34"/>
      <c r="D214" s="34"/>
      <c r="M214" s="10"/>
    </row>
    <row r="215" spans="1:13" ht="12.3">
      <c r="A215" s="34"/>
      <c r="B215" s="34"/>
      <c r="C215" s="34"/>
      <c r="D215" s="34"/>
      <c r="M215" s="10"/>
    </row>
    <row r="216" spans="1:13" ht="12.3">
      <c r="A216" s="34"/>
      <c r="B216" s="34"/>
      <c r="C216" s="34"/>
      <c r="D216" s="34"/>
      <c r="M216" s="10"/>
    </row>
    <row r="217" spans="1:13" ht="12.3">
      <c r="A217" s="34"/>
      <c r="B217" s="34"/>
      <c r="C217" s="34"/>
      <c r="D217" s="34"/>
      <c r="M217" s="10"/>
    </row>
    <row r="218" spans="1:13" ht="12.3">
      <c r="A218" s="34"/>
      <c r="B218" s="34"/>
      <c r="C218" s="34"/>
      <c r="D218" s="34"/>
      <c r="M218" s="10"/>
    </row>
    <row r="219" spans="1:13" ht="12.3">
      <c r="A219" s="34"/>
      <c r="B219" s="34"/>
      <c r="C219" s="34"/>
      <c r="D219" s="34"/>
      <c r="M219" s="10"/>
    </row>
    <row r="220" spans="1:13" ht="12.3">
      <c r="A220" s="34"/>
      <c r="B220" s="34"/>
      <c r="C220" s="34"/>
      <c r="D220" s="34"/>
      <c r="M220" s="10"/>
    </row>
    <row r="221" spans="1:13" ht="12.3">
      <c r="A221" s="34"/>
      <c r="B221" s="34"/>
      <c r="C221" s="34"/>
      <c r="D221" s="34"/>
      <c r="M221" s="10"/>
    </row>
    <row r="222" spans="1:13" ht="12.3">
      <c r="A222" s="34"/>
      <c r="B222" s="34"/>
      <c r="C222" s="34"/>
      <c r="D222" s="34"/>
      <c r="M222" s="10"/>
    </row>
    <row r="223" spans="1:13" ht="12.3">
      <c r="A223" s="34"/>
      <c r="B223" s="34"/>
      <c r="C223" s="34"/>
      <c r="D223" s="34"/>
      <c r="M223" s="10"/>
    </row>
    <row r="224" spans="1:13" ht="12.3">
      <c r="A224" s="34"/>
      <c r="B224" s="34"/>
      <c r="C224" s="34"/>
      <c r="D224" s="34"/>
      <c r="M224" s="10"/>
    </row>
    <row r="225" spans="1:13" ht="12.3">
      <c r="A225" s="34"/>
      <c r="B225" s="34"/>
      <c r="C225" s="34"/>
      <c r="D225" s="34"/>
      <c r="M225" s="10"/>
    </row>
    <row r="226" spans="1:13" ht="12.3">
      <c r="A226" s="34"/>
      <c r="B226" s="34"/>
      <c r="C226" s="34"/>
      <c r="D226" s="34"/>
      <c r="M226" s="10"/>
    </row>
    <row r="227" spans="1:13" ht="12.3">
      <c r="A227" s="34"/>
      <c r="B227" s="34"/>
      <c r="C227" s="34"/>
      <c r="D227" s="34"/>
      <c r="M227" s="10"/>
    </row>
    <row r="228" spans="1:13" ht="12.3">
      <c r="A228" s="34"/>
      <c r="B228" s="34"/>
      <c r="C228" s="34"/>
      <c r="D228" s="34"/>
      <c r="M228" s="10"/>
    </row>
    <row r="229" spans="1:13" ht="12.3">
      <c r="A229" s="34"/>
      <c r="B229" s="34"/>
      <c r="C229" s="34"/>
      <c r="D229" s="34"/>
      <c r="M229" s="10"/>
    </row>
    <row r="230" spans="1:13" ht="12.3">
      <c r="A230" s="34"/>
      <c r="B230" s="34"/>
      <c r="C230" s="34"/>
      <c r="D230" s="34"/>
      <c r="M230" s="10"/>
    </row>
    <row r="231" spans="1:13" ht="12.3">
      <c r="A231" s="34"/>
      <c r="B231" s="34"/>
      <c r="C231" s="34"/>
      <c r="D231" s="34"/>
      <c r="M231" s="10"/>
    </row>
    <row r="232" spans="1:13" ht="12.3">
      <c r="A232" s="34"/>
      <c r="B232" s="34"/>
      <c r="C232" s="34"/>
      <c r="D232" s="34"/>
      <c r="M232" s="10"/>
    </row>
    <row r="233" spans="1:13" ht="12.3">
      <c r="A233" s="34"/>
      <c r="B233" s="34"/>
      <c r="C233" s="34"/>
      <c r="D233" s="34"/>
      <c r="M233" s="10"/>
    </row>
    <row r="234" spans="1:13" ht="12.3">
      <c r="A234" s="34"/>
      <c r="B234" s="34"/>
      <c r="C234" s="34"/>
      <c r="D234" s="34"/>
      <c r="M234" s="10"/>
    </row>
    <row r="235" spans="1:13" ht="12.3">
      <c r="A235" s="34"/>
      <c r="B235" s="34"/>
      <c r="C235" s="34"/>
      <c r="D235" s="34"/>
      <c r="M235" s="10"/>
    </row>
    <row r="236" spans="1:13" ht="12.3">
      <c r="A236" s="34"/>
      <c r="B236" s="34"/>
      <c r="C236" s="34"/>
      <c r="D236" s="34"/>
      <c r="M236" s="10"/>
    </row>
    <row r="237" spans="1:13" ht="12.3">
      <c r="A237" s="34"/>
      <c r="B237" s="34"/>
      <c r="C237" s="34"/>
      <c r="D237" s="34"/>
      <c r="M237" s="10"/>
    </row>
    <row r="238" spans="1:13" ht="12.3">
      <c r="A238" s="34"/>
      <c r="B238" s="34"/>
      <c r="C238" s="34"/>
      <c r="D238" s="34"/>
      <c r="M238" s="10"/>
    </row>
    <row r="239" spans="1:13" ht="12.3">
      <c r="A239" s="34"/>
      <c r="B239" s="34"/>
      <c r="C239" s="34"/>
      <c r="D239" s="34"/>
      <c r="M239" s="10"/>
    </row>
    <row r="240" spans="1:13" ht="12.3">
      <c r="A240" s="34"/>
      <c r="B240" s="34"/>
      <c r="C240" s="34"/>
      <c r="D240" s="34"/>
      <c r="M240" s="10"/>
    </row>
    <row r="241" spans="1:13" ht="12.3">
      <c r="A241" s="34"/>
      <c r="B241" s="34"/>
      <c r="C241" s="34"/>
      <c r="D241" s="34"/>
      <c r="M241" s="10"/>
    </row>
    <row r="242" spans="1:13" ht="12.3">
      <c r="A242" s="34"/>
      <c r="B242" s="34"/>
      <c r="C242" s="34"/>
      <c r="D242" s="34"/>
      <c r="M242" s="10"/>
    </row>
    <row r="243" spans="1:13" ht="12.3">
      <c r="A243" s="34"/>
      <c r="B243" s="34"/>
      <c r="C243" s="34"/>
      <c r="D243" s="34"/>
      <c r="M243" s="10"/>
    </row>
    <row r="244" spans="1:13" ht="12.3">
      <c r="A244" s="34"/>
      <c r="B244" s="34"/>
      <c r="C244" s="34"/>
      <c r="D244" s="34"/>
      <c r="M244" s="10"/>
    </row>
    <row r="245" spans="1:13" ht="12.3">
      <c r="A245" s="34"/>
      <c r="B245" s="34"/>
      <c r="C245" s="34"/>
      <c r="D245" s="34"/>
      <c r="M245" s="10"/>
    </row>
    <row r="246" spans="1:13" ht="12.3">
      <c r="A246" s="34"/>
      <c r="B246" s="34"/>
      <c r="C246" s="34"/>
      <c r="D246" s="34"/>
      <c r="M246" s="10"/>
    </row>
    <row r="247" spans="1:13" ht="12.3">
      <c r="A247" s="34"/>
      <c r="B247" s="34"/>
      <c r="C247" s="34"/>
      <c r="D247" s="34"/>
      <c r="M247" s="10"/>
    </row>
    <row r="248" spans="1:13" ht="12.3">
      <c r="A248" s="34"/>
      <c r="B248" s="34"/>
      <c r="C248" s="34"/>
      <c r="D248" s="34"/>
      <c r="M248" s="10"/>
    </row>
    <row r="249" spans="1:13" ht="12.3">
      <c r="A249" s="34"/>
      <c r="B249" s="34"/>
      <c r="C249" s="34"/>
      <c r="D249" s="34"/>
      <c r="M249" s="10"/>
    </row>
    <row r="250" spans="1:13" ht="12.3">
      <c r="A250" s="34"/>
      <c r="B250" s="34"/>
      <c r="C250" s="34"/>
      <c r="D250" s="34"/>
      <c r="M250" s="10"/>
    </row>
    <row r="251" spans="1:13" ht="12.3">
      <c r="A251" s="34"/>
      <c r="B251" s="34"/>
      <c r="C251" s="34"/>
      <c r="D251" s="34"/>
      <c r="M251" s="10"/>
    </row>
    <row r="252" spans="1:13" ht="12.3">
      <c r="A252" s="34"/>
      <c r="B252" s="34"/>
      <c r="C252" s="34"/>
      <c r="D252" s="34"/>
      <c r="M252" s="10"/>
    </row>
    <row r="253" spans="1:13" ht="12.3">
      <c r="A253" s="34"/>
      <c r="B253" s="34"/>
      <c r="C253" s="34"/>
      <c r="D253" s="34"/>
      <c r="M253" s="10"/>
    </row>
    <row r="254" spans="1:13" ht="12.3">
      <c r="A254" s="34"/>
      <c r="B254" s="34"/>
      <c r="C254" s="34"/>
      <c r="D254" s="34"/>
      <c r="M254" s="10"/>
    </row>
    <row r="255" spans="1:13" ht="12.3">
      <c r="A255" s="34"/>
      <c r="B255" s="34"/>
      <c r="C255" s="34"/>
      <c r="D255" s="34"/>
      <c r="M255" s="10"/>
    </row>
    <row r="256" spans="1:13" ht="12.3">
      <c r="A256" s="34"/>
      <c r="B256" s="34"/>
      <c r="C256" s="34"/>
      <c r="D256" s="34"/>
      <c r="M256" s="10"/>
    </row>
    <row r="257" spans="1:13" ht="12.3">
      <c r="A257" s="34"/>
      <c r="B257" s="34"/>
      <c r="C257" s="34"/>
      <c r="D257" s="34"/>
      <c r="M257" s="10"/>
    </row>
    <row r="258" spans="1:13" ht="12.3">
      <c r="A258" s="34"/>
      <c r="B258" s="34"/>
      <c r="C258" s="34"/>
      <c r="D258" s="34"/>
      <c r="M258" s="10"/>
    </row>
    <row r="259" spans="1:13" ht="12.3">
      <c r="A259" s="34"/>
      <c r="B259" s="34"/>
      <c r="C259" s="34"/>
      <c r="D259" s="34"/>
      <c r="M259" s="10"/>
    </row>
    <row r="260" spans="1:13" ht="12.3">
      <c r="A260" s="34"/>
      <c r="B260" s="34"/>
      <c r="C260" s="34"/>
      <c r="D260" s="34"/>
      <c r="M260" s="10"/>
    </row>
    <row r="261" spans="1:13" ht="12.3">
      <c r="A261" s="34"/>
      <c r="B261" s="34"/>
      <c r="C261" s="34"/>
      <c r="D261" s="34"/>
      <c r="M261" s="10"/>
    </row>
    <row r="262" spans="1:13" ht="12.3">
      <c r="A262" s="34"/>
      <c r="B262" s="34"/>
      <c r="C262" s="34"/>
      <c r="D262" s="34"/>
      <c r="M262" s="10"/>
    </row>
    <row r="263" spans="1:13" ht="12.3">
      <c r="A263" s="34"/>
      <c r="B263" s="34"/>
      <c r="C263" s="34"/>
      <c r="D263" s="34"/>
      <c r="M263" s="10"/>
    </row>
    <row r="264" spans="1:13" ht="12.3">
      <c r="A264" s="34"/>
      <c r="B264" s="34"/>
      <c r="C264" s="34"/>
      <c r="D264" s="34"/>
      <c r="M264" s="10"/>
    </row>
    <row r="265" spans="1:13" ht="12.3">
      <c r="A265" s="34"/>
      <c r="B265" s="34"/>
      <c r="C265" s="34"/>
      <c r="D265" s="34"/>
      <c r="M265" s="10"/>
    </row>
    <row r="266" spans="1:13" ht="12.3">
      <c r="A266" s="34"/>
      <c r="B266" s="34"/>
      <c r="C266" s="34"/>
      <c r="D266" s="34"/>
      <c r="M266" s="10"/>
    </row>
    <row r="267" spans="1:13" ht="12.3">
      <c r="A267" s="34"/>
      <c r="B267" s="34"/>
      <c r="C267" s="34"/>
      <c r="D267" s="34"/>
      <c r="M267" s="10"/>
    </row>
    <row r="268" spans="1:13" ht="12.3">
      <c r="A268" s="34"/>
      <c r="B268" s="34"/>
      <c r="C268" s="34"/>
      <c r="D268" s="34"/>
      <c r="M268" s="10"/>
    </row>
    <row r="269" spans="1:13" ht="12.3">
      <c r="A269" s="34"/>
      <c r="B269" s="34"/>
      <c r="C269" s="34"/>
      <c r="D269" s="34"/>
      <c r="M269" s="10"/>
    </row>
    <row r="270" spans="1:13" ht="12.3">
      <c r="A270" s="34"/>
      <c r="B270" s="34"/>
      <c r="C270" s="34"/>
      <c r="D270" s="34"/>
      <c r="M270" s="10"/>
    </row>
    <row r="271" spans="1:13" ht="12.3">
      <c r="A271" s="34"/>
      <c r="B271" s="34"/>
      <c r="C271" s="34"/>
      <c r="D271" s="34"/>
      <c r="M271" s="10"/>
    </row>
    <row r="272" spans="1:13" ht="12.3">
      <c r="A272" s="34"/>
      <c r="B272" s="34"/>
      <c r="C272" s="34"/>
      <c r="D272" s="34"/>
      <c r="M272" s="10"/>
    </row>
    <row r="273" spans="1:13" ht="12.3">
      <c r="A273" s="34"/>
      <c r="B273" s="34"/>
      <c r="C273" s="34"/>
      <c r="D273" s="34"/>
      <c r="M273" s="10"/>
    </row>
    <row r="274" spans="1:13" ht="12.3">
      <c r="A274" s="34"/>
      <c r="B274" s="34"/>
      <c r="C274" s="34"/>
      <c r="D274" s="34"/>
      <c r="M274" s="10"/>
    </row>
    <row r="275" spans="1:13" ht="12.3">
      <c r="A275" s="34"/>
      <c r="B275" s="34"/>
      <c r="C275" s="34"/>
      <c r="D275" s="34"/>
      <c r="M275" s="10"/>
    </row>
    <row r="276" spans="1:13" ht="12.3">
      <c r="A276" s="34"/>
      <c r="B276" s="34"/>
      <c r="C276" s="34"/>
      <c r="D276" s="34"/>
      <c r="M276" s="10"/>
    </row>
    <row r="277" spans="1:13" ht="12.3">
      <c r="A277" s="34"/>
      <c r="B277" s="34"/>
      <c r="C277" s="34"/>
      <c r="D277" s="34"/>
      <c r="M277" s="10"/>
    </row>
    <row r="278" spans="1:13" ht="12.3">
      <c r="A278" s="34"/>
      <c r="B278" s="34"/>
      <c r="C278" s="34"/>
      <c r="D278" s="34"/>
      <c r="M278" s="10"/>
    </row>
    <row r="279" spans="1:13" ht="12.3">
      <c r="A279" s="34"/>
      <c r="B279" s="34"/>
      <c r="C279" s="34"/>
      <c r="D279" s="34"/>
      <c r="M279" s="10"/>
    </row>
    <row r="280" spans="1:13" ht="12.3">
      <c r="A280" s="34"/>
      <c r="B280" s="34"/>
      <c r="C280" s="34"/>
      <c r="D280" s="34"/>
      <c r="M280" s="10"/>
    </row>
    <row r="281" spans="1:13" ht="12.3">
      <c r="A281" s="34"/>
      <c r="B281" s="34"/>
      <c r="C281" s="34"/>
      <c r="D281" s="34"/>
      <c r="M281" s="10"/>
    </row>
    <row r="282" spans="1:13" ht="12.3">
      <c r="A282" s="34"/>
      <c r="B282" s="34"/>
      <c r="C282" s="34"/>
      <c r="D282" s="34"/>
      <c r="M282" s="10"/>
    </row>
    <row r="283" spans="1:13" ht="12.3">
      <c r="A283" s="34"/>
      <c r="B283" s="34"/>
      <c r="C283" s="34"/>
      <c r="D283" s="34"/>
      <c r="M283" s="10"/>
    </row>
    <row r="284" spans="1:13" ht="12.3">
      <c r="A284" s="34"/>
      <c r="B284" s="34"/>
      <c r="C284" s="34"/>
      <c r="D284" s="34"/>
      <c r="M284" s="10"/>
    </row>
    <row r="285" spans="1:13" ht="12.3">
      <c r="A285" s="34"/>
      <c r="B285" s="34"/>
      <c r="C285" s="34"/>
      <c r="D285" s="34"/>
      <c r="M285" s="10"/>
    </row>
    <row r="286" spans="1:13" ht="12.3">
      <c r="A286" s="34"/>
      <c r="B286" s="34"/>
      <c r="C286" s="34"/>
      <c r="D286" s="34"/>
      <c r="M286" s="10"/>
    </row>
    <row r="287" spans="1:13" ht="12.3">
      <c r="A287" s="34"/>
      <c r="B287" s="34"/>
      <c r="C287" s="34"/>
      <c r="D287" s="34"/>
      <c r="M287" s="10"/>
    </row>
    <row r="288" spans="1:13" ht="12.3">
      <c r="A288" s="34"/>
      <c r="B288" s="34"/>
      <c r="C288" s="34"/>
      <c r="D288" s="34"/>
      <c r="M288" s="10"/>
    </row>
    <row r="289" spans="1:13" ht="12.3">
      <c r="A289" s="34"/>
      <c r="B289" s="34"/>
      <c r="C289" s="34"/>
      <c r="D289" s="34"/>
      <c r="M289" s="10"/>
    </row>
    <row r="290" spans="1:13" ht="12.3">
      <c r="A290" s="34"/>
      <c r="B290" s="34"/>
      <c r="C290" s="34"/>
      <c r="D290" s="34"/>
      <c r="M290" s="10"/>
    </row>
    <row r="291" spans="1:13" ht="12.3">
      <c r="A291" s="34"/>
      <c r="B291" s="34"/>
      <c r="C291" s="34"/>
      <c r="D291" s="34"/>
      <c r="M291" s="10"/>
    </row>
    <row r="292" spans="1:13" ht="12.3">
      <c r="A292" s="34"/>
      <c r="B292" s="34"/>
      <c r="C292" s="34"/>
      <c r="D292" s="34"/>
      <c r="M292" s="10"/>
    </row>
    <row r="293" spans="1:13" ht="12.3">
      <c r="A293" s="34"/>
      <c r="B293" s="34"/>
      <c r="C293" s="34"/>
      <c r="D293" s="34"/>
      <c r="M293" s="10"/>
    </row>
    <row r="294" spans="1:13" ht="12.3">
      <c r="A294" s="34"/>
      <c r="B294" s="34"/>
      <c r="C294" s="34"/>
      <c r="D294" s="34"/>
      <c r="M294" s="10"/>
    </row>
    <row r="295" spans="1:13" ht="12.3">
      <c r="A295" s="34"/>
      <c r="B295" s="34"/>
      <c r="C295" s="34"/>
      <c r="D295" s="34"/>
      <c r="M295" s="10"/>
    </row>
    <row r="296" spans="1:13" ht="12.3">
      <c r="A296" s="34"/>
      <c r="B296" s="34"/>
      <c r="C296" s="34"/>
      <c r="D296" s="34"/>
      <c r="M296" s="10"/>
    </row>
    <row r="297" spans="1:13" ht="12.3">
      <c r="A297" s="34"/>
      <c r="B297" s="34"/>
      <c r="C297" s="34"/>
      <c r="D297" s="34"/>
      <c r="M297" s="10"/>
    </row>
    <row r="298" spans="1:13" ht="12.3">
      <c r="A298" s="34"/>
      <c r="B298" s="34"/>
      <c r="C298" s="34"/>
      <c r="D298" s="34"/>
      <c r="M298" s="10"/>
    </row>
    <row r="299" spans="1:13" ht="12.3">
      <c r="A299" s="34"/>
      <c r="B299" s="34"/>
      <c r="C299" s="34"/>
      <c r="D299" s="34"/>
      <c r="M299" s="10"/>
    </row>
    <row r="300" spans="1:13" ht="12.3">
      <c r="A300" s="34"/>
      <c r="B300" s="34"/>
      <c r="C300" s="34"/>
      <c r="D300" s="34"/>
      <c r="M300" s="10"/>
    </row>
    <row r="301" spans="1:13" ht="12.3">
      <c r="A301" s="34"/>
      <c r="B301" s="34"/>
      <c r="C301" s="34"/>
      <c r="D301" s="34"/>
      <c r="M301" s="10"/>
    </row>
    <row r="302" spans="1:13" ht="12.3">
      <c r="A302" s="34"/>
      <c r="B302" s="34"/>
      <c r="C302" s="34"/>
      <c r="D302" s="34"/>
      <c r="M302" s="10"/>
    </row>
    <row r="303" spans="1:13" ht="12.3">
      <c r="A303" s="34"/>
      <c r="B303" s="34"/>
      <c r="C303" s="34"/>
      <c r="D303" s="34"/>
      <c r="M303" s="10"/>
    </row>
    <row r="304" spans="1:13" ht="12.3">
      <c r="A304" s="34"/>
      <c r="B304" s="34"/>
      <c r="C304" s="34"/>
      <c r="D304" s="34"/>
      <c r="M304" s="10"/>
    </row>
    <row r="305" spans="1:13" ht="12.3">
      <c r="A305" s="34"/>
      <c r="B305" s="34"/>
      <c r="C305" s="34"/>
      <c r="D305" s="34"/>
      <c r="M305" s="10"/>
    </row>
    <row r="306" spans="1:13" ht="12.3">
      <c r="A306" s="34"/>
      <c r="B306" s="34"/>
      <c r="C306" s="34"/>
      <c r="D306" s="34"/>
      <c r="M306" s="10"/>
    </row>
    <row r="307" spans="1:13" ht="12.3">
      <c r="A307" s="34"/>
      <c r="B307" s="34"/>
      <c r="C307" s="34"/>
      <c r="D307" s="34"/>
      <c r="M307" s="10"/>
    </row>
    <row r="308" spans="1:13" ht="12.3">
      <c r="A308" s="34"/>
      <c r="B308" s="34"/>
      <c r="C308" s="34"/>
      <c r="D308" s="34"/>
      <c r="M308" s="10"/>
    </row>
    <row r="309" spans="1:13" ht="12.3">
      <c r="A309" s="34"/>
      <c r="B309" s="34"/>
      <c r="C309" s="34"/>
      <c r="D309" s="34"/>
      <c r="M309" s="10"/>
    </row>
    <row r="310" spans="1:13" ht="12.3">
      <c r="A310" s="34"/>
      <c r="B310" s="34"/>
      <c r="C310" s="34"/>
      <c r="D310" s="34"/>
      <c r="M310" s="10"/>
    </row>
    <row r="311" spans="1:13" ht="12.3">
      <c r="A311" s="34"/>
      <c r="B311" s="34"/>
      <c r="C311" s="34"/>
      <c r="D311" s="34"/>
      <c r="M311" s="10"/>
    </row>
    <row r="312" spans="1:13" ht="12.3">
      <c r="A312" s="34"/>
      <c r="B312" s="34"/>
      <c r="C312" s="34"/>
      <c r="D312" s="34"/>
      <c r="M312" s="10"/>
    </row>
    <row r="313" spans="1:13" ht="12.3">
      <c r="A313" s="34"/>
      <c r="B313" s="34"/>
      <c r="C313" s="34"/>
      <c r="D313" s="34"/>
      <c r="M313" s="10"/>
    </row>
    <row r="314" spans="1:13" ht="12.3">
      <c r="A314" s="34"/>
      <c r="B314" s="34"/>
      <c r="C314" s="34"/>
      <c r="D314" s="34"/>
      <c r="M314" s="10"/>
    </row>
    <row r="315" spans="1:13" ht="12.3">
      <c r="A315" s="34"/>
      <c r="B315" s="34"/>
      <c r="C315" s="34"/>
      <c r="D315" s="34"/>
      <c r="M315" s="10"/>
    </row>
    <row r="316" spans="1:13" ht="12.3">
      <c r="A316" s="34"/>
      <c r="B316" s="34"/>
      <c r="C316" s="34"/>
      <c r="D316" s="34"/>
      <c r="M316" s="10"/>
    </row>
    <row r="317" spans="1:13" ht="12.3">
      <c r="A317" s="34"/>
      <c r="B317" s="34"/>
      <c r="C317" s="34"/>
      <c r="D317" s="34"/>
      <c r="M317" s="10"/>
    </row>
    <row r="318" spans="1:13" ht="12.3">
      <c r="A318" s="34"/>
      <c r="B318" s="34"/>
      <c r="C318" s="34"/>
      <c r="D318" s="34"/>
      <c r="M318" s="10"/>
    </row>
    <row r="319" spans="1:13" ht="12.3">
      <c r="A319" s="34"/>
      <c r="B319" s="34"/>
      <c r="C319" s="34"/>
      <c r="D319" s="34"/>
      <c r="M319" s="10"/>
    </row>
    <row r="320" spans="1:13" ht="12.3">
      <c r="A320" s="34"/>
      <c r="B320" s="34"/>
      <c r="C320" s="34"/>
      <c r="D320" s="34"/>
      <c r="M320" s="10"/>
    </row>
    <row r="321" spans="1:13" ht="12.3">
      <c r="A321" s="34"/>
      <c r="B321" s="34"/>
      <c r="C321" s="34"/>
      <c r="D321" s="34"/>
      <c r="M321" s="10"/>
    </row>
    <row r="322" spans="1:13" ht="12.3">
      <c r="A322" s="34"/>
      <c r="B322" s="34"/>
      <c r="C322" s="34"/>
      <c r="D322" s="34"/>
      <c r="M322" s="10"/>
    </row>
    <row r="323" spans="1:13" ht="12.3">
      <c r="A323" s="34"/>
      <c r="B323" s="34"/>
      <c r="C323" s="34"/>
      <c r="D323" s="34"/>
      <c r="M323" s="10"/>
    </row>
    <row r="324" spans="1:13" ht="12.3">
      <c r="A324" s="34"/>
      <c r="B324" s="34"/>
      <c r="C324" s="34"/>
      <c r="D324" s="34"/>
      <c r="M324" s="10"/>
    </row>
    <row r="325" spans="1:13" ht="12.3">
      <c r="A325" s="34"/>
      <c r="B325" s="34"/>
      <c r="C325" s="34"/>
      <c r="D325" s="34"/>
      <c r="M325" s="10"/>
    </row>
    <row r="326" spans="1:13" ht="12.3">
      <c r="A326" s="34"/>
      <c r="B326" s="34"/>
      <c r="C326" s="34"/>
      <c r="D326" s="34"/>
      <c r="M326" s="10"/>
    </row>
    <row r="327" spans="1:13" ht="12.3">
      <c r="A327" s="34"/>
      <c r="B327" s="34"/>
      <c r="C327" s="34"/>
      <c r="D327" s="34"/>
      <c r="M327" s="10"/>
    </row>
    <row r="328" spans="1:13" ht="12.3">
      <c r="A328" s="34"/>
      <c r="B328" s="34"/>
      <c r="C328" s="34"/>
      <c r="D328" s="34"/>
      <c r="M328" s="10"/>
    </row>
    <row r="329" spans="1:13" ht="12.3">
      <c r="A329" s="34"/>
      <c r="B329" s="34"/>
      <c r="C329" s="34"/>
      <c r="D329" s="34"/>
      <c r="M329" s="10"/>
    </row>
    <row r="330" spans="1:13" ht="12.3">
      <c r="A330" s="34"/>
      <c r="B330" s="34"/>
      <c r="C330" s="34"/>
      <c r="D330" s="34"/>
      <c r="M330" s="10"/>
    </row>
    <row r="331" spans="1:13" ht="12.3">
      <c r="A331" s="34"/>
      <c r="B331" s="34"/>
      <c r="C331" s="34"/>
      <c r="D331" s="34"/>
      <c r="M331" s="10"/>
    </row>
    <row r="332" spans="1:13" ht="12.3">
      <c r="A332" s="34"/>
      <c r="B332" s="34"/>
      <c r="C332" s="34"/>
      <c r="D332" s="34"/>
      <c r="M332" s="10"/>
    </row>
    <row r="333" spans="1:13" ht="12.3">
      <c r="A333" s="34"/>
      <c r="B333" s="34"/>
      <c r="C333" s="34"/>
      <c r="D333" s="34"/>
      <c r="M333" s="10"/>
    </row>
    <row r="334" spans="1:13" ht="12.3">
      <c r="A334" s="34"/>
      <c r="B334" s="34"/>
      <c r="C334" s="34"/>
      <c r="D334" s="34"/>
      <c r="M334" s="10"/>
    </row>
    <row r="335" spans="1:13" ht="12.3">
      <c r="A335" s="34"/>
      <c r="B335" s="34"/>
      <c r="C335" s="34"/>
      <c r="D335" s="34"/>
      <c r="M335" s="10"/>
    </row>
    <row r="336" spans="1:13" ht="12.3">
      <c r="A336" s="34"/>
      <c r="B336" s="34"/>
      <c r="C336" s="34"/>
      <c r="D336" s="34"/>
      <c r="M336" s="10"/>
    </row>
    <row r="337" spans="1:13" ht="12.3">
      <c r="A337" s="34"/>
      <c r="B337" s="34"/>
      <c r="C337" s="34"/>
      <c r="D337" s="34"/>
      <c r="M337" s="10"/>
    </row>
    <row r="338" spans="1:13" ht="12.3">
      <c r="A338" s="34"/>
      <c r="B338" s="34"/>
      <c r="C338" s="34"/>
      <c r="D338" s="34"/>
      <c r="M338" s="10"/>
    </row>
    <row r="339" spans="1:13" ht="12.3">
      <c r="A339" s="34"/>
      <c r="B339" s="34"/>
      <c r="C339" s="34"/>
      <c r="D339" s="34"/>
      <c r="M339" s="10"/>
    </row>
    <row r="340" spans="1:13" ht="12.3">
      <c r="A340" s="34"/>
      <c r="B340" s="34"/>
      <c r="C340" s="34"/>
      <c r="D340" s="34"/>
      <c r="M340" s="10"/>
    </row>
    <row r="341" spans="1:13" ht="12.3">
      <c r="A341" s="34"/>
      <c r="B341" s="34"/>
      <c r="C341" s="34"/>
      <c r="D341" s="34"/>
      <c r="M341" s="10"/>
    </row>
    <row r="342" spans="1:13" ht="12.3">
      <c r="A342" s="34"/>
      <c r="B342" s="34"/>
      <c r="C342" s="34"/>
      <c r="D342" s="34"/>
      <c r="M342" s="10"/>
    </row>
    <row r="343" spans="1:13" ht="12.3">
      <c r="A343" s="34"/>
      <c r="B343" s="34"/>
      <c r="C343" s="34"/>
      <c r="D343" s="34"/>
      <c r="M343" s="10"/>
    </row>
    <row r="344" spans="1:13" ht="12.3">
      <c r="A344" s="34"/>
      <c r="B344" s="34"/>
      <c r="C344" s="34"/>
      <c r="D344" s="34"/>
      <c r="M344" s="10"/>
    </row>
    <row r="345" spans="1:13" ht="12.3">
      <c r="A345" s="34"/>
      <c r="B345" s="34"/>
      <c r="C345" s="34"/>
      <c r="D345" s="34"/>
      <c r="M345" s="10"/>
    </row>
    <row r="346" spans="1:13" ht="12.3">
      <c r="A346" s="34"/>
      <c r="B346" s="34"/>
      <c r="C346" s="34"/>
      <c r="D346" s="34"/>
      <c r="M346" s="10"/>
    </row>
    <row r="347" spans="1:13" ht="12.3">
      <c r="A347" s="34"/>
      <c r="B347" s="34"/>
      <c r="C347" s="34"/>
      <c r="D347" s="34"/>
      <c r="M347" s="10"/>
    </row>
    <row r="348" spans="1:13" ht="12.3">
      <c r="A348" s="34"/>
      <c r="B348" s="34"/>
      <c r="C348" s="34"/>
      <c r="D348" s="34"/>
      <c r="M348" s="10"/>
    </row>
    <row r="349" spans="1:13" ht="12.3">
      <c r="A349" s="34"/>
      <c r="B349" s="34"/>
      <c r="C349" s="34"/>
      <c r="D349" s="34"/>
      <c r="M349" s="10"/>
    </row>
    <row r="350" spans="1:13" ht="12.3">
      <c r="A350" s="34"/>
      <c r="B350" s="34"/>
      <c r="C350" s="34"/>
      <c r="D350" s="34"/>
      <c r="M350" s="10"/>
    </row>
    <row r="351" spans="1:13" ht="12.3">
      <c r="A351" s="34"/>
      <c r="B351" s="34"/>
      <c r="C351" s="34"/>
      <c r="D351" s="34"/>
      <c r="M351" s="10"/>
    </row>
    <row r="352" spans="1:13" ht="12.3">
      <c r="A352" s="34"/>
      <c r="B352" s="34"/>
      <c r="C352" s="34"/>
      <c r="D352" s="34"/>
      <c r="M352" s="10"/>
    </row>
    <row r="353" spans="1:13" ht="12.3">
      <c r="A353" s="34"/>
      <c r="B353" s="34"/>
      <c r="C353" s="34"/>
      <c r="D353" s="34"/>
      <c r="M353" s="10"/>
    </row>
    <row r="354" spans="1:13" ht="12.3">
      <c r="A354" s="34"/>
      <c r="B354" s="34"/>
      <c r="C354" s="34"/>
      <c r="D354" s="34"/>
      <c r="M354" s="10"/>
    </row>
    <row r="355" spans="1:13" ht="12.3">
      <c r="A355" s="34"/>
      <c r="B355" s="34"/>
      <c r="C355" s="34"/>
      <c r="D355" s="34"/>
      <c r="M355" s="10"/>
    </row>
    <row r="356" spans="1:13" ht="12.3">
      <c r="A356" s="34"/>
      <c r="B356" s="34"/>
      <c r="C356" s="34"/>
      <c r="D356" s="34"/>
      <c r="M356" s="10"/>
    </row>
    <row r="357" spans="1:13" ht="12.3">
      <c r="A357" s="34"/>
      <c r="B357" s="34"/>
      <c r="C357" s="34"/>
      <c r="D357" s="34"/>
      <c r="M357" s="10"/>
    </row>
    <row r="358" spans="1:13" ht="12.3">
      <c r="A358" s="34"/>
      <c r="B358" s="34"/>
      <c r="C358" s="34"/>
      <c r="D358" s="34"/>
      <c r="M358" s="10"/>
    </row>
    <row r="359" spans="1:13" ht="12.3">
      <c r="A359" s="34"/>
      <c r="B359" s="34"/>
      <c r="C359" s="34"/>
      <c r="D359" s="34"/>
      <c r="M359" s="10"/>
    </row>
    <row r="360" spans="1:13" ht="12.3">
      <c r="A360" s="34"/>
      <c r="B360" s="34"/>
      <c r="C360" s="34"/>
      <c r="D360" s="34"/>
      <c r="M360" s="10"/>
    </row>
    <row r="361" spans="1:13" ht="12.3">
      <c r="A361" s="34"/>
      <c r="B361" s="34"/>
      <c r="C361" s="34"/>
      <c r="D361" s="34"/>
      <c r="M361" s="10"/>
    </row>
    <row r="362" spans="1:13" ht="12.3">
      <c r="A362" s="34"/>
      <c r="B362" s="34"/>
      <c r="C362" s="34"/>
      <c r="D362" s="34"/>
      <c r="M362" s="10"/>
    </row>
    <row r="363" spans="1:13" ht="12.3">
      <c r="A363" s="34"/>
      <c r="B363" s="34"/>
      <c r="C363" s="34"/>
      <c r="D363" s="34"/>
      <c r="M363" s="10"/>
    </row>
    <row r="364" spans="1:13" ht="12.3">
      <c r="A364" s="34"/>
      <c r="B364" s="34"/>
      <c r="C364" s="34"/>
      <c r="D364" s="34"/>
      <c r="M364" s="10"/>
    </row>
    <row r="365" spans="1:13" ht="12.3">
      <c r="A365" s="34"/>
      <c r="B365" s="34"/>
      <c r="C365" s="34"/>
      <c r="D365" s="34"/>
      <c r="M365" s="10"/>
    </row>
    <row r="366" spans="1:13" ht="12.3">
      <c r="A366" s="34"/>
      <c r="B366" s="34"/>
      <c r="C366" s="34"/>
      <c r="D366" s="34"/>
      <c r="M366" s="10"/>
    </row>
    <row r="367" spans="1:13" ht="12.3">
      <c r="A367" s="34"/>
      <c r="B367" s="34"/>
      <c r="C367" s="34"/>
      <c r="D367" s="34"/>
      <c r="M367" s="10"/>
    </row>
    <row r="368" spans="1:13" ht="12.3">
      <c r="A368" s="34"/>
      <c r="B368" s="34"/>
      <c r="C368" s="34"/>
      <c r="D368" s="34"/>
      <c r="M368" s="10"/>
    </row>
    <row r="369" spans="1:13" ht="12.3">
      <c r="A369" s="34"/>
      <c r="B369" s="34"/>
      <c r="C369" s="34"/>
      <c r="D369" s="34"/>
      <c r="M369" s="10"/>
    </row>
    <row r="370" spans="1:13" ht="12.3">
      <c r="A370" s="34"/>
      <c r="B370" s="34"/>
      <c r="C370" s="34"/>
      <c r="D370" s="34"/>
      <c r="M370" s="10"/>
    </row>
    <row r="371" spans="1:13" ht="12.3">
      <c r="A371" s="34"/>
      <c r="B371" s="34"/>
      <c r="C371" s="34"/>
      <c r="D371" s="34"/>
      <c r="M371" s="10"/>
    </row>
    <row r="372" spans="1:13" ht="12.3">
      <c r="A372" s="34"/>
      <c r="B372" s="34"/>
      <c r="C372" s="34"/>
      <c r="D372" s="34"/>
      <c r="M372" s="10"/>
    </row>
    <row r="373" spans="1:13" ht="12.3">
      <c r="A373" s="34"/>
      <c r="B373" s="34"/>
      <c r="C373" s="34"/>
      <c r="D373" s="34"/>
      <c r="M373" s="10"/>
    </row>
    <row r="374" spans="1:13" ht="12.3">
      <c r="A374" s="34"/>
      <c r="B374" s="34"/>
      <c r="C374" s="34"/>
      <c r="D374" s="34"/>
      <c r="M374" s="10"/>
    </row>
    <row r="375" spans="1:13" ht="12.3">
      <c r="A375" s="34"/>
      <c r="B375" s="34"/>
      <c r="C375" s="34"/>
      <c r="D375" s="34"/>
      <c r="M375" s="10"/>
    </row>
    <row r="376" spans="1:13" ht="12.3">
      <c r="A376" s="34"/>
      <c r="B376" s="34"/>
      <c r="C376" s="34"/>
      <c r="D376" s="34"/>
      <c r="M376" s="10"/>
    </row>
    <row r="377" spans="1:13" ht="12.3">
      <c r="A377" s="34"/>
      <c r="B377" s="34"/>
      <c r="C377" s="34"/>
      <c r="D377" s="34"/>
      <c r="M377" s="10"/>
    </row>
    <row r="378" spans="1:13" ht="12.3">
      <c r="A378" s="34"/>
      <c r="B378" s="34"/>
      <c r="C378" s="34"/>
      <c r="D378" s="34"/>
      <c r="M378" s="10"/>
    </row>
    <row r="379" spans="1:13" ht="12.3">
      <c r="A379" s="34"/>
      <c r="B379" s="34"/>
      <c r="C379" s="34"/>
      <c r="D379" s="34"/>
      <c r="M379" s="10"/>
    </row>
    <row r="380" spans="1:13" ht="12.3">
      <c r="A380" s="34"/>
      <c r="B380" s="34"/>
      <c r="C380" s="34"/>
      <c r="D380" s="34"/>
      <c r="M380" s="10"/>
    </row>
    <row r="381" spans="1:13" ht="12.3">
      <c r="A381" s="34"/>
      <c r="B381" s="34"/>
      <c r="C381" s="34"/>
      <c r="D381" s="34"/>
      <c r="M381" s="10"/>
    </row>
    <row r="382" spans="1:13" ht="12.3">
      <c r="A382" s="34"/>
      <c r="B382" s="34"/>
      <c r="C382" s="34"/>
      <c r="D382" s="34"/>
      <c r="M382" s="10"/>
    </row>
    <row r="383" spans="1:13" ht="12.3">
      <c r="A383" s="34"/>
      <c r="B383" s="34"/>
      <c r="C383" s="34"/>
      <c r="D383" s="34"/>
      <c r="M383" s="10"/>
    </row>
    <row r="384" spans="1:13" ht="12.3">
      <c r="A384" s="34"/>
      <c r="B384" s="34"/>
      <c r="C384" s="34"/>
      <c r="D384" s="34"/>
      <c r="M384" s="10"/>
    </row>
    <row r="385" spans="1:13" ht="12.3">
      <c r="A385" s="34"/>
      <c r="B385" s="34"/>
      <c r="C385" s="34"/>
      <c r="D385" s="34"/>
      <c r="M385" s="10"/>
    </row>
    <row r="386" spans="1:13" ht="12.3">
      <c r="A386" s="34"/>
      <c r="B386" s="34"/>
      <c r="C386" s="34"/>
      <c r="D386" s="34"/>
      <c r="M386" s="10"/>
    </row>
    <row r="387" spans="1:13" ht="12.3">
      <c r="A387" s="34"/>
      <c r="B387" s="34"/>
      <c r="C387" s="34"/>
      <c r="D387" s="34"/>
      <c r="M387" s="10"/>
    </row>
    <row r="388" spans="1:13" ht="12.3">
      <c r="A388" s="34"/>
      <c r="B388" s="34"/>
      <c r="C388" s="34"/>
      <c r="D388" s="34"/>
      <c r="M388" s="10"/>
    </row>
    <row r="389" spans="1:13" ht="12.3">
      <c r="A389" s="34"/>
      <c r="B389" s="34"/>
      <c r="C389" s="34"/>
      <c r="D389" s="34"/>
      <c r="M389" s="10"/>
    </row>
    <row r="390" spans="1:13" ht="12.3">
      <c r="A390" s="34"/>
      <c r="B390" s="34"/>
      <c r="C390" s="34"/>
      <c r="D390" s="34"/>
      <c r="M390" s="10"/>
    </row>
    <row r="391" spans="1:13" ht="12.3">
      <c r="A391" s="34"/>
      <c r="B391" s="34"/>
      <c r="C391" s="34"/>
      <c r="D391" s="34"/>
      <c r="M391" s="10"/>
    </row>
    <row r="392" spans="1:13" ht="12.3">
      <c r="A392" s="34"/>
      <c r="B392" s="34"/>
      <c r="C392" s="34"/>
      <c r="D392" s="34"/>
      <c r="M392" s="10"/>
    </row>
    <row r="393" spans="1:13" ht="12.3">
      <c r="A393" s="34"/>
      <c r="B393" s="34"/>
      <c r="C393" s="34"/>
      <c r="D393" s="34"/>
      <c r="M393" s="10"/>
    </row>
    <row r="394" spans="1:13" ht="12.3">
      <c r="A394" s="34"/>
      <c r="B394" s="34"/>
      <c r="C394" s="34"/>
      <c r="D394" s="34"/>
      <c r="M394" s="10"/>
    </row>
    <row r="395" spans="1:13" ht="12.3">
      <c r="A395" s="34"/>
      <c r="B395" s="34"/>
      <c r="C395" s="34"/>
      <c r="D395" s="34"/>
      <c r="M395" s="10"/>
    </row>
    <row r="396" spans="1:13" ht="12.3">
      <c r="A396" s="34"/>
      <c r="B396" s="34"/>
      <c r="C396" s="34"/>
      <c r="D396" s="34"/>
      <c r="M396" s="10"/>
    </row>
    <row r="397" spans="1:13" ht="12.3">
      <c r="A397" s="34"/>
      <c r="B397" s="34"/>
      <c r="C397" s="34"/>
      <c r="D397" s="34"/>
      <c r="M397" s="10"/>
    </row>
    <row r="398" spans="1:13" ht="12.3">
      <c r="A398" s="34"/>
      <c r="B398" s="34"/>
      <c r="C398" s="34"/>
      <c r="D398" s="34"/>
      <c r="M398" s="10"/>
    </row>
    <row r="399" spans="1:13" ht="12.3">
      <c r="A399" s="34"/>
      <c r="B399" s="34"/>
      <c r="C399" s="34"/>
      <c r="D399" s="34"/>
      <c r="M399" s="10"/>
    </row>
    <row r="400" spans="1:13" ht="12.3">
      <c r="A400" s="34"/>
      <c r="B400" s="34"/>
      <c r="C400" s="34"/>
      <c r="D400" s="34"/>
      <c r="M400" s="10"/>
    </row>
    <row r="401" spans="1:13" ht="12.3">
      <c r="A401" s="34"/>
      <c r="B401" s="34"/>
      <c r="C401" s="34"/>
      <c r="D401" s="34"/>
      <c r="M401" s="10"/>
    </row>
    <row r="402" spans="1:13" ht="12.3">
      <c r="A402" s="34"/>
      <c r="B402" s="34"/>
      <c r="C402" s="34"/>
      <c r="D402" s="34"/>
      <c r="M402" s="10"/>
    </row>
    <row r="403" spans="1:13" ht="12.3">
      <c r="A403" s="34"/>
      <c r="B403" s="34"/>
      <c r="C403" s="34"/>
      <c r="D403" s="34"/>
      <c r="M403" s="10"/>
    </row>
    <row r="404" spans="1:13" ht="12.3">
      <c r="A404" s="34"/>
      <c r="B404" s="34"/>
      <c r="C404" s="34"/>
      <c r="D404" s="34"/>
      <c r="M404" s="10"/>
    </row>
    <row r="405" spans="1:13" ht="12.3">
      <c r="A405" s="34"/>
      <c r="B405" s="34"/>
      <c r="C405" s="34"/>
      <c r="D405" s="34"/>
      <c r="M405" s="10"/>
    </row>
    <row r="406" spans="1:13" ht="12.3">
      <c r="A406" s="34"/>
      <c r="B406" s="34"/>
      <c r="C406" s="34"/>
      <c r="D406" s="34"/>
      <c r="M406" s="10"/>
    </row>
    <row r="407" spans="1:13" ht="12.3">
      <c r="A407" s="34"/>
      <c r="B407" s="34"/>
      <c r="C407" s="34"/>
      <c r="D407" s="34"/>
      <c r="M407" s="10"/>
    </row>
    <row r="408" spans="1:13" ht="12.3">
      <c r="A408" s="34"/>
      <c r="B408" s="34"/>
      <c r="C408" s="34"/>
      <c r="D408" s="34"/>
      <c r="M408" s="10"/>
    </row>
    <row r="409" spans="1:13" ht="12.3">
      <c r="A409" s="34"/>
      <c r="B409" s="34"/>
      <c r="C409" s="34"/>
      <c r="D409" s="34"/>
      <c r="M409" s="10"/>
    </row>
    <row r="410" spans="1:13" ht="12.3">
      <c r="A410" s="34"/>
      <c r="B410" s="34"/>
      <c r="C410" s="34"/>
      <c r="D410" s="34"/>
      <c r="M410" s="10"/>
    </row>
    <row r="411" spans="1:13" ht="12.3">
      <c r="A411" s="34"/>
      <c r="B411" s="34"/>
      <c r="C411" s="34"/>
      <c r="D411" s="34"/>
      <c r="M411" s="10"/>
    </row>
    <row r="412" spans="1:13" ht="12.3">
      <c r="A412" s="34"/>
      <c r="B412" s="34"/>
      <c r="C412" s="34"/>
      <c r="D412" s="34"/>
      <c r="M412" s="10"/>
    </row>
    <row r="413" spans="1:13" ht="12.3">
      <c r="A413" s="34"/>
      <c r="B413" s="34"/>
      <c r="C413" s="34"/>
      <c r="D413" s="34"/>
      <c r="M413" s="10"/>
    </row>
    <row r="414" spans="1:13" ht="12.3">
      <c r="A414" s="34"/>
      <c r="B414" s="34"/>
      <c r="C414" s="34"/>
      <c r="D414" s="34"/>
      <c r="M414" s="10"/>
    </row>
    <row r="415" spans="1:13" ht="12.3">
      <c r="A415" s="34"/>
      <c r="B415" s="34"/>
      <c r="C415" s="34"/>
      <c r="D415" s="34"/>
      <c r="M415" s="10"/>
    </row>
    <row r="416" spans="1:13" ht="12.3">
      <c r="A416" s="34"/>
      <c r="B416" s="34"/>
      <c r="C416" s="34"/>
      <c r="D416" s="34"/>
      <c r="M416" s="10"/>
    </row>
    <row r="417" spans="1:13" ht="12.3">
      <c r="A417" s="34"/>
      <c r="B417" s="34"/>
      <c r="C417" s="34"/>
      <c r="D417" s="34"/>
      <c r="M417" s="10"/>
    </row>
    <row r="418" spans="1:13" ht="12.3">
      <c r="A418" s="34"/>
      <c r="B418" s="34"/>
      <c r="C418" s="34"/>
      <c r="D418" s="34"/>
      <c r="M418" s="10"/>
    </row>
    <row r="419" spans="1:13" ht="12.3">
      <c r="A419" s="34"/>
      <c r="B419" s="34"/>
      <c r="C419" s="34"/>
      <c r="D419" s="34"/>
      <c r="M419" s="10"/>
    </row>
    <row r="420" spans="1:13" ht="12.3">
      <c r="A420" s="34"/>
      <c r="B420" s="34"/>
      <c r="C420" s="34"/>
      <c r="D420" s="34"/>
      <c r="M420" s="10"/>
    </row>
    <row r="421" spans="1:13" ht="12.3">
      <c r="A421" s="34"/>
      <c r="B421" s="34"/>
      <c r="C421" s="34"/>
      <c r="D421" s="34"/>
      <c r="M421" s="10"/>
    </row>
    <row r="422" spans="1:13" ht="12.3">
      <c r="A422" s="34"/>
      <c r="B422" s="34"/>
      <c r="C422" s="34"/>
      <c r="D422" s="34"/>
      <c r="M422" s="10"/>
    </row>
    <row r="423" spans="1:13" ht="12.3">
      <c r="A423" s="34"/>
      <c r="B423" s="34"/>
      <c r="C423" s="34"/>
      <c r="D423" s="34"/>
      <c r="M423" s="10"/>
    </row>
    <row r="424" spans="1:13" ht="12.3">
      <c r="A424" s="34"/>
      <c r="B424" s="34"/>
      <c r="C424" s="34"/>
      <c r="D424" s="34"/>
      <c r="M424" s="10"/>
    </row>
    <row r="425" spans="1:13" ht="12.3">
      <c r="A425" s="34"/>
      <c r="B425" s="34"/>
      <c r="C425" s="34"/>
      <c r="D425" s="34"/>
      <c r="M425" s="10"/>
    </row>
    <row r="426" spans="1:13" ht="12.3">
      <c r="A426" s="34"/>
      <c r="B426" s="34"/>
      <c r="C426" s="34"/>
      <c r="D426" s="34"/>
      <c r="M426" s="10"/>
    </row>
    <row r="427" spans="1:13" ht="12.3">
      <c r="A427" s="34"/>
      <c r="B427" s="34"/>
      <c r="C427" s="34"/>
      <c r="D427" s="34"/>
      <c r="M427" s="10"/>
    </row>
    <row r="428" spans="1:13" ht="12.3">
      <c r="A428" s="34"/>
      <c r="B428" s="34"/>
      <c r="C428" s="34"/>
      <c r="D428" s="34"/>
      <c r="M428" s="10"/>
    </row>
    <row r="429" spans="1:13" ht="12.3">
      <c r="A429" s="34"/>
      <c r="B429" s="34"/>
      <c r="C429" s="34"/>
      <c r="D429" s="34"/>
      <c r="M429" s="10"/>
    </row>
    <row r="430" spans="1:13" ht="12.3">
      <c r="A430" s="34"/>
      <c r="B430" s="34"/>
      <c r="C430" s="34"/>
      <c r="D430" s="34"/>
      <c r="M430" s="10"/>
    </row>
    <row r="431" spans="1:13" ht="12.3">
      <c r="A431" s="34"/>
      <c r="B431" s="34"/>
      <c r="C431" s="34"/>
      <c r="D431" s="34"/>
      <c r="M431" s="10"/>
    </row>
    <row r="432" spans="1:13" ht="12.3">
      <c r="A432" s="34"/>
      <c r="B432" s="34"/>
      <c r="C432" s="34"/>
      <c r="D432" s="34"/>
      <c r="M432" s="10"/>
    </row>
    <row r="433" spans="1:13" ht="12.3">
      <c r="A433" s="34"/>
      <c r="B433" s="34"/>
      <c r="C433" s="34"/>
      <c r="D433" s="34"/>
      <c r="M433" s="10"/>
    </row>
    <row r="434" spans="1:13" ht="12.3">
      <c r="A434" s="34"/>
      <c r="B434" s="34"/>
      <c r="C434" s="34"/>
      <c r="D434" s="34"/>
      <c r="M434" s="10"/>
    </row>
    <row r="435" spans="1:13" ht="12.3">
      <c r="A435" s="34"/>
      <c r="B435" s="34"/>
      <c r="C435" s="34"/>
      <c r="D435" s="34"/>
      <c r="M435" s="10"/>
    </row>
    <row r="436" spans="1:13" ht="12.3">
      <c r="A436" s="34"/>
      <c r="B436" s="34"/>
      <c r="C436" s="34"/>
      <c r="D436" s="34"/>
      <c r="M436" s="10"/>
    </row>
    <row r="437" spans="1:13" ht="12.3">
      <c r="A437" s="34"/>
      <c r="B437" s="34"/>
      <c r="C437" s="34"/>
      <c r="D437" s="34"/>
      <c r="M437" s="10"/>
    </row>
    <row r="438" spans="1:13" ht="12.3">
      <c r="A438" s="34"/>
      <c r="B438" s="34"/>
      <c r="C438" s="34"/>
      <c r="D438" s="34"/>
      <c r="M438" s="10"/>
    </row>
    <row r="439" spans="1:13" ht="12.3">
      <c r="A439" s="34"/>
      <c r="B439" s="34"/>
      <c r="C439" s="34"/>
      <c r="D439" s="34"/>
      <c r="M439" s="10"/>
    </row>
    <row r="440" spans="1:13" ht="12.3">
      <c r="A440" s="34"/>
      <c r="B440" s="34"/>
      <c r="C440" s="34"/>
      <c r="D440" s="34"/>
      <c r="M440" s="10"/>
    </row>
    <row r="441" spans="1:13" ht="12.3">
      <c r="A441" s="34"/>
      <c r="B441" s="34"/>
      <c r="C441" s="34"/>
      <c r="D441" s="34"/>
      <c r="M441" s="10"/>
    </row>
    <row r="442" spans="1:13" ht="12.3">
      <c r="A442" s="34"/>
      <c r="B442" s="34"/>
      <c r="C442" s="34"/>
      <c r="D442" s="34"/>
      <c r="M442" s="10"/>
    </row>
    <row r="443" spans="1:13" ht="12.3">
      <c r="A443" s="34"/>
      <c r="B443" s="34"/>
      <c r="C443" s="34"/>
      <c r="D443" s="34"/>
      <c r="M443" s="10"/>
    </row>
    <row r="444" spans="1:13" ht="12.3">
      <c r="A444" s="34"/>
      <c r="B444" s="34"/>
      <c r="C444" s="34"/>
      <c r="D444" s="34"/>
      <c r="M444" s="10"/>
    </row>
    <row r="445" spans="1:13" ht="12.3">
      <c r="A445" s="34"/>
      <c r="B445" s="34"/>
      <c r="C445" s="34"/>
      <c r="D445" s="34"/>
      <c r="M445" s="10"/>
    </row>
    <row r="446" spans="1:13" ht="12.3">
      <c r="A446" s="34"/>
      <c r="B446" s="34"/>
      <c r="C446" s="34"/>
      <c r="D446" s="34"/>
      <c r="M446" s="10"/>
    </row>
    <row r="447" spans="1:13" ht="12.3">
      <c r="A447" s="34"/>
      <c r="B447" s="34"/>
      <c r="C447" s="34"/>
      <c r="D447" s="34"/>
      <c r="M447" s="10"/>
    </row>
    <row r="448" spans="1:13" ht="12.3">
      <c r="A448" s="34"/>
      <c r="B448" s="34"/>
      <c r="C448" s="34"/>
      <c r="D448" s="34"/>
      <c r="M448" s="10"/>
    </row>
    <row r="449" spans="1:13" ht="12.3">
      <c r="A449" s="34"/>
      <c r="B449" s="34"/>
      <c r="C449" s="34"/>
      <c r="D449" s="34"/>
      <c r="M449" s="10"/>
    </row>
    <row r="450" spans="1:13" ht="12.3">
      <c r="A450" s="34"/>
      <c r="B450" s="34"/>
      <c r="C450" s="34"/>
      <c r="D450" s="34"/>
      <c r="M450" s="10"/>
    </row>
    <row r="451" spans="1:13" ht="12.3">
      <c r="A451" s="34"/>
      <c r="B451" s="34"/>
      <c r="C451" s="34"/>
      <c r="D451" s="34"/>
      <c r="M451" s="10"/>
    </row>
    <row r="452" spans="1:13" ht="12.3">
      <c r="A452" s="34"/>
      <c r="B452" s="34"/>
      <c r="C452" s="34"/>
      <c r="D452" s="34"/>
      <c r="M452" s="10"/>
    </row>
    <row r="453" spans="1:13" ht="12.3">
      <c r="A453" s="34"/>
      <c r="B453" s="34"/>
      <c r="C453" s="34"/>
      <c r="D453" s="34"/>
      <c r="M453" s="10"/>
    </row>
    <row r="454" spans="1:13" ht="12.3">
      <c r="A454" s="34"/>
      <c r="B454" s="34"/>
      <c r="C454" s="34"/>
      <c r="D454" s="34"/>
      <c r="M454" s="10"/>
    </row>
    <row r="455" spans="1:13" ht="12.3">
      <c r="A455" s="34"/>
      <c r="B455" s="34"/>
      <c r="C455" s="34"/>
      <c r="D455" s="34"/>
      <c r="M455" s="10"/>
    </row>
    <row r="456" spans="1:13" ht="12.3">
      <c r="A456" s="34"/>
      <c r="B456" s="34"/>
      <c r="C456" s="34"/>
      <c r="D456" s="34"/>
      <c r="M456" s="10"/>
    </row>
    <row r="457" spans="1:13" ht="12.3">
      <c r="A457" s="34"/>
      <c r="B457" s="34"/>
      <c r="C457" s="34"/>
      <c r="D457" s="34"/>
      <c r="M457" s="10"/>
    </row>
    <row r="458" spans="1:13" ht="12.3">
      <c r="A458" s="34"/>
      <c r="B458" s="34"/>
      <c r="C458" s="34"/>
      <c r="D458" s="34"/>
      <c r="M458" s="10"/>
    </row>
    <row r="459" spans="1:13" ht="12.3">
      <c r="A459" s="34"/>
      <c r="B459" s="34"/>
      <c r="C459" s="34"/>
      <c r="D459" s="34"/>
      <c r="M459" s="10"/>
    </row>
    <row r="460" spans="1:13" ht="12.3">
      <c r="A460" s="34"/>
      <c r="B460" s="34"/>
      <c r="C460" s="34"/>
      <c r="D460" s="34"/>
      <c r="M460" s="10"/>
    </row>
    <row r="461" spans="1:13" ht="12.3">
      <c r="A461" s="34"/>
      <c r="B461" s="34"/>
      <c r="C461" s="34"/>
      <c r="D461" s="34"/>
      <c r="M461" s="10"/>
    </row>
    <row r="462" spans="1:13" ht="12.3">
      <c r="A462" s="34"/>
      <c r="B462" s="34"/>
      <c r="C462" s="34"/>
      <c r="D462" s="34"/>
      <c r="M462" s="10"/>
    </row>
    <row r="463" spans="1:13" ht="12.3">
      <c r="A463" s="34"/>
      <c r="B463" s="34"/>
      <c r="C463" s="34"/>
      <c r="D463" s="34"/>
      <c r="M463" s="10"/>
    </row>
    <row r="464" spans="1:13" ht="12.3">
      <c r="A464" s="34"/>
      <c r="B464" s="34"/>
      <c r="C464" s="34"/>
      <c r="D464" s="34"/>
      <c r="M464" s="10"/>
    </row>
    <row r="465" spans="1:13" ht="12.3">
      <c r="A465" s="34"/>
      <c r="B465" s="34"/>
      <c r="C465" s="34"/>
      <c r="D465" s="34"/>
      <c r="M465" s="10"/>
    </row>
    <row r="466" spans="1:13" ht="12.3">
      <c r="A466" s="34"/>
      <c r="B466" s="34"/>
      <c r="C466" s="34"/>
      <c r="D466" s="34"/>
      <c r="M466" s="10"/>
    </row>
    <row r="467" spans="1:13" ht="12.3">
      <c r="A467" s="34"/>
      <c r="B467" s="34"/>
      <c r="C467" s="34"/>
      <c r="D467" s="34"/>
      <c r="M467" s="10"/>
    </row>
    <row r="468" spans="1:13" ht="12.3">
      <c r="A468" s="34"/>
      <c r="B468" s="34"/>
      <c r="C468" s="34"/>
      <c r="D468" s="34"/>
      <c r="M468" s="10"/>
    </row>
    <row r="469" spans="1:13" ht="12.3">
      <c r="A469" s="34"/>
      <c r="B469" s="34"/>
      <c r="C469" s="34"/>
      <c r="D469" s="34"/>
      <c r="M469" s="10"/>
    </row>
    <row r="470" spans="1:13" ht="12.3">
      <c r="A470" s="34"/>
      <c r="B470" s="34"/>
      <c r="C470" s="34"/>
      <c r="D470" s="34"/>
      <c r="M470" s="10"/>
    </row>
    <row r="471" spans="1:13" ht="12.3">
      <c r="A471" s="34"/>
      <c r="B471" s="34"/>
      <c r="C471" s="34"/>
      <c r="D471" s="34"/>
      <c r="M471" s="10"/>
    </row>
    <row r="472" spans="1:13" ht="12.3">
      <c r="A472" s="34"/>
      <c r="B472" s="34"/>
      <c r="C472" s="34"/>
      <c r="D472" s="34"/>
      <c r="M472" s="10"/>
    </row>
    <row r="473" spans="1:13" ht="12.3">
      <c r="A473" s="34"/>
      <c r="B473" s="34"/>
      <c r="C473" s="34"/>
      <c r="D473" s="34"/>
      <c r="M473" s="10"/>
    </row>
    <row r="474" spans="1:13" ht="12.3">
      <c r="A474" s="34"/>
      <c r="B474" s="34"/>
      <c r="C474" s="34"/>
      <c r="D474" s="34"/>
      <c r="M474" s="10"/>
    </row>
    <row r="475" spans="1:13" ht="12.3">
      <c r="A475" s="34"/>
      <c r="B475" s="34"/>
      <c r="C475" s="34"/>
      <c r="D475" s="34"/>
      <c r="M475" s="10"/>
    </row>
    <row r="476" spans="1:13" ht="12.3">
      <c r="A476" s="34"/>
      <c r="B476" s="34"/>
      <c r="C476" s="34"/>
      <c r="D476" s="34"/>
      <c r="M476" s="10"/>
    </row>
    <row r="477" spans="1:13" ht="12.3">
      <c r="A477" s="34"/>
      <c r="B477" s="34"/>
      <c r="C477" s="34"/>
      <c r="D477" s="34"/>
      <c r="M477" s="10"/>
    </row>
    <row r="478" spans="1:13" ht="12.3">
      <c r="A478" s="34"/>
      <c r="B478" s="34"/>
      <c r="C478" s="34"/>
      <c r="D478" s="34"/>
      <c r="M478" s="10"/>
    </row>
    <row r="479" spans="1:13" ht="12.3">
      <c r="A479" s="34"/>
      <c r="B479" s="34"/>
      <c r="C479" s="34"/>
      <c r="D479" s="34"/>
      <c r="M479" s="10"/>
    </row>
    <row r="480" spans="1:13" ht="12.3">
      <c r="A480" s="34"/>
      <c r="B480" s="34"/>
      <c r="C480" s="34"/>
      <c r="D480" s="34"/>
      <c r="M480" s="10"/>
    </row>
    <row r="481" spans="1:13" ht="12.3">
      <c r="A481" s="34"/>
      <c r="B481" s="34"/>
      <c r="C481" s="34"/>
      <c r="D481" s="34"/>
      <c r="M481" s="10"/>
    </row>
    <row r="482" spans="1:13" ht="12.3">
      <c r="A482" s="34"/>
      <c r="B482" s="34"/>
      <c r="C482" s="34"/>
      <c r="D482" s="34"/>
      <c r="M482" s="10"/>
    </row>
    <row r="483" spans="1:13" ht="12.3">
      <c r="A483" s="34"/>
      <c r="B483" s="34"/>
      <c r="C483" s="34"/>
      <c r="D483" s="34"/>
      <c r="M483" s="10"/>
    </row>
    <row r="484" spans="1:13" ht="12.3">
      <c r="A484" s="34"/>
      <c r="B484" s="34"/>
      <c r="C484" s="34"/>
      <c r="D484" s="34"/>
      <c r="M484" s="10"/>
    </row>
    <row r="485" spans="1:13" ht="12.3">
      <c r="A485" s="34"/>
      <c r="B485" s="34"/>
      <c r="C485" s="34"/>
      <c r="D485" s="34"/>
      <c r="M485" s="10"/>
    </row>
    <row r="486" spans="1:13" ht="12.3">
      <c r="A486" s="34"/>
      <c r="B486" s="34"/>
      <c r="C486" s="34"/>
      <c r="D486" s="34"/>
      <c r="M486" s="10"/>
    </row>
    <row r="487" spans="1:13" ht="12.3">
      <c r="A487" s="34"/>
      <c r="B487" s="34"/>
      <c r="C487" s="34"/>
      <c r="D487" s="34"/>
      <c r="M487" s="10"/>
    </row>
    <row r="488" spans="1:13" ht="12.3">
      <c r="A488" s="34"/>
      <c r="B488" s="34"/>
      <c r="C488" s="34"/>
      <c r="D488" s="34"/>
      <c r="M488" s="10"/>
    </row>
    <row r="489" spans="1:13" ht="12.3">
      <c r="A489" s="34"/>
      <c r="B489" s="34"/>
      <c r="C489" s="34"/>
      <c r="D489" s="34"/>
      <c r="M489" s="10"/>
    </row>
    <row r="490" spans="1:13" ht="12.3">
      <c r="A490" s="34"/>
      <c r="B490" s="34"/>
      <c r="C490" s="34"/>
      <c r="D490" s="34"/>
      <c r="M490" s="10"/>
    </row>
    <row r="491" spans="1:13" ht="12.3">
      <c r="A491" s="34"/>
      <c r="B491" s="34"/>
      <c r="C491" s="34"/>
      <c r="D491" s="34"/>
      <c r="M491" s="10"/>
    </row>
    <row r="492" spans="1:13" ht="12.3">
      <c r="A492" s="34"/>
      <c r="B492" s="34"/>
      <c r="C492" s="34"/>
      <c r="D492" s="34"/>
      <c r="M492" s="10"/>
    </row>
    <row r="493" spans="1:13" ht="12.3">
      <c r="A493" s="34"/>
      <c r="B493" s="34"/>
      <c r="C493" s="34"/>
      <c r="D493" s="34"/>
      <c r="M493" s="10"/>
    </row>
    <row r="494" spans="1:13" ht="12.3">
      <c r="A494" s="34"/>
      <c r="B494" s="34"/>
      <c r="C494" s="34"/>
      <c r="D494" s="34"/>
      <c r="M494" s="10"/>
    </row>
    <row r="495" spans="1:13" ht="12.3">
      <c r="A495" s="34"/>
      <c r="B495" s="34"/>
      <c r="C495" s="34"/>
      <c r="D495" s="34"/>
      <c r="M495" s="10"/>
    </row>
    <row r="496" spans="1:13" ht="12.3">
      <c r="A496" s="34"/>
      <c r="B496" s="34"/>
      <c r="C496" s="34"/>
      <c r="D496" s="34"/>
      <c r="M496" s="10"/>
    </row>
    <row r="497" spans="1:13" ht="12.3">
      <c r="A497" s="34"/>
      <c r="B497" s="34"/>
      <c r="C497" s="34"/>
      <c r="D497" s="34"/>
      <c r="M497" s="10"/>
    </row>
    <row r="498" spans="1:13" ht="12.3">
      <c r="A498" s="34"/>
      <c r="B498" s="34"/>
      <c r="C498" s="34"/>
      <c r="D498" s="34"/>
      <c r="M498" s="10"/>
    </row>
    <row r="499" spans="1:13" ht="12.3">
      <c r="A499" s="34"/>
      <c r="B499" s="34"/>
      <c r="C499" s="34"/>
      <c r="D499" s="34"/>
      <c r="M499" s="10"/>
    </row>
    <row r="500" spans="1:13" ht="12.3">
      <c r="A500" s="34"/>
      <c r="B500" s="34"/>
      <c r="C500" s="34"/>
      <c r="D500" s="34"/>
      <c r="M500" s="10"/>
    </row>
    <row r="501" spans="1:13" ht="12.3">
      <c r="A501" s="34"/>
      <c r="B501" s="34"/>
      <c r="C501" s="34"/>
      <c r="D501" s="34"/>
      <c r="M501" s="10"/>
    </row>
    <row r="502" spans="1:13" ht="12.3">
      <c r="A502" s="34"/>
      <c r="B502" s="34"/>
      <c r="C502" s="34"/>
      <c r="D502" s="34"/>
      <c r="M502" s="10"/>
    </row>
    <row r="503" spans="1:13" ht="12.3">
      <c r="A503" s="34"/>
      <c r="B503" s="34"/>
      <c r="C503" s="34"/>
      <c r="D503" s="34"/>
      <c r="M503" s="10"/>
    </row>
    <row r="504" spans="1:13" ht="12.3">
      <c r="A504" s="34"/>
      <c r="B504" s="34"/>
      <c r="C504" s="34"/>
      <c r="D504" s="34"/>
      <c r="M504" s="10"/>
    </row>
    <row r="505" spans="1:13" ht="12.3">
      <c r="A505" s="34"/>
      <c r="B505" s="34"/>
      <c r="C505" s="34"/>
      <c r="D505" s="34"/>
      <c r="M505" s="10"/>
    </row>
    <row r="506" spans="1:13" ht="12.3">
      <c r="A506" s="34"/>
      <c r="B506" s="34"/>
      <c r="C506" s="34"/>
      <c r="D506" s="34"/>
      <c r="M506" s="10"/>
    </row>
    <row r="507" spans="1:13" ht="12.3">
      <c r="A507" s="34"/>
      <c r="B507" s="34"/>
      <c r="C507" s="34"/>
      <c r="D507" s="34"/>
      <c r="M507" s="10"/>
    </row>
    <row r="508" spans="1:13" ht="12.3">
      <c r="A508" s="34"/>
      <c r="B508" s="34"/>
      <c r="C508" s="34"/>
      <c r="D508" s="34"/>
      <c r="M508" s="10"/>
    </row>
    <row r="509" spans="1:13" ht="12.3">
      <c r="A509" s="34"/>
      <c r="B509" s="34"/>
      <c r="C509" s="34"/>
      <c r="D509" s="34"/>
      <c r="M509" s="10"/>
    </row>
    <row r="510" spans="1:13" ht="12.3">
      <c r="A510" s="34"/>
      <c r="B510" s="34"/>
      <c r="C510" s="34"/>
      <c r="D510" s="34"/>
      <c r="M510" s="10"/>
    </row>
    <row r="511" spans="1:13" ht="12.3">
      <c r="A511" s="34"/>
      <c r="B511" s="34"/>
      <c r="C511" s="34"/>
      <c r="D511" s="34"/>
      <c r="M511" s="10"/>
    </row>
    <row r="512" spans="1:13" ht="12.3">
      <c r="A512" s="34"/>
      <c r="B512" s="34"/>
      <c r="C512" s="34"/>
      <c r="D512" s="34"/>
      <c r="M512" s="10"/>
    </row>
    <row r="513" spans="1:13" ht="12.3">
      <c r="A513" s="34"/>
      <c r="B513" s="34"/>
      <c r="C513" s="34"/>
      <c r="D513" s="34"/>
      <c r="M513" s="10"/>
    </row>
    <row r="514" spans="1:13" ht="12.3">
      <c r="A514" s="34"/>
      <c r="B514" s="34"/>
      <c r="C514" s="34"/>
      <c r="D514" s="34"/>
      <c r="M514" s="10"/>
    </row>
    <row r="515" spans="1:13" ht="12.3">
      <c r="A515" s="34"/>
      <c r="B515" s="34"/>
      <c r="C515" s="34"/>
      <c r="D515" s="34"/>
      <c r="M515" s="10"/>
    </row>
    <row r="516" spans="1:13" ht="12.3">
      <c r="A516" s="34"/>
      <c r="B516" s="34"/>
      <c r="C516" s="34"/>
      <c r="D516" s="34"/>
      <c r="M516" s="10"/>
    </row>
    <row r="517" spans="1:13" ht="12.3">
      <c r="A517" s="34"/>
      <c r="B517" s="34"/>
      <c r="C517" s="34"/>
      <c r="D517" s="34"/>
      <c r="M517" s="10"/>
    </row>
    <row r="518" spans="1:13" ht="12.3">
      <c r="A518" s="34"/>
      <c r="B518" s="34"/>
      <c r="C518" s="34"/>
      <c r="D518" s="34"/>
      <c r="M518" s="10"/>
    </row>
    <row r="519" spans="1:13" ht="12.3">
      <c r="A519" s="34"/>
      <c r="B519" s="34"/>
      <c r="C519" s="34"/>
      <c r="D519" s="34"/>
      <c r="M519" s="10"/>
    </row>
    <row r="520" spans="1:13" ht="12.3">
      <c r="A520" s="34"/>
      <c r="B520" s="34"/>
      <c r="C520" s="34"/>
      <c r="D520" s="34"/>
      <c r="M520" s="10"/>
    </row>
    <row r="521" spans="1:13" ht="12.3">
      <c r="A521" s="34"/>
      <c r="B521" s="34"/>
      <c r="C521" s="34"/>
      <c r="D521" s="34"/>
      <c r="M521" s="10"/>
    </row>
    <row r="522" spans="1:13" ht="12.3">
      <c r="A522" s="34"/>
      <c r="B522" s="34"/>
      <c r="C522" s="34"/>
      <c r="D522" s="34"/>
      <c r="M522" s="10"/>
    </row>
    <row r="523" spans="1:13" ht="12.3">
      <c r="A523" s="34"/>
      <c r="B523" s="34"/>
      <c r="C523" s="34"/>
      <c r="D523" s="34"/>
      <c r="M523" s="10"/>
    </row>
    <row r="524" spans="1:13" ht="12.3">
      <c r="A524" s="34"/>
      <c r="B524" s="34"/>
      <c r="C524" s="34"/>
      <c r="D524" s="34"/>
      <c r="M524" s="10"/>
    </row>
    <row r="525" spans="1:13" ht="12.3">
      <c r="A525" s="34"/>
      <c r="B525" s="34"/>
      <c r="C525" s="34"/>
      <c r="D525" s="34"/>
      <c r="M525" s="10"/>
    </row>
    <row r="526" spans="1:13" ht="12.3">
      <c r="A526" s="34"/>
      <c r="B526" s="34"/>
      <c r="C526" s="34"/>
      <c r="D526" s="34"/>
      <c r="M526" s="10"/>
    </row>
    <row r="527" spans="1:13" ht="12.3">
      <c r="A527" s="34"/>
      <c r="B527" s="34"/>
      <c r="C527" s="34"/>
      <c r="D527" s="34"/>
      <c r="M527" s="10"/>
    </row>
    <row r="528" spans="1:13" ht="12.3">
      <c r="A528" s="34"/>
      <c r="B528" s="34"/>
      <c r="C528" s="34"/>
      <c r="D528" s="34"/>
      <c r="M528" s="10"/>
    </row>
    <row r="529" spans="1:13" ht="12.3">
      <c r="A529" s="34"/>
      <c r="B529" s="34"/>
      <c r="C529" s="34"/>
      <c r="D529" s="34"/>
      <c r="M529" s="10"/>
    </row>
    <row r="530" spans="1:13" ht="12.3">
      <c r="A530" s="34"/>
      <c r="B530" s="34"/>
      <c r="C530" s="34"/>
      <c r="D530" s="34"/>
      <c r="M530" s="10"/>
    </row>
    <row r="531" spans="1:13" ht="12.3">
      <c r="A531" s="34"/>
      <c r="B531" s="34"/>
      <c r="C531" s="34"/>
      <c r="D531" s="34"/>
      <c r="M531" s="10"/>
    </row>
    <row r="532" spans="1:13" ht="12.3">
      <c r="A532" s="34"/>
      <c r="B532" s="34"/>
      <c r="C532" s="34"/>
      <c r="D532" s="34"/>
      <c r="M532" s="10"/>
    </row>
    <row r="533" spans="1:13" ht="12.3">
      <c r="A533" s="34"/>
      <c r="B533" s="34"/>
      <c r="C533" s="34"/>
      <c r="D533" s="34"/>
      <c r="M533" s="10"/>
    </row>
    <row r="534" spans="1:13" ht="12.3">
      <c r="A534" s="34"/>
      <c r="B534" s="34"/>
      <c r="C534" s="34"/>
      <c r="D534" s="34"/>
      <c r="M534" s="10"/>
    </row>
    <row r="535" spans="1:13" ht="12.3">
      <c r="A535" s="34"/>
      <c r="B535" s="34"/>
      <c r="C535" s="34"/>
      <c r="D535" s="34"/>
      <c r="M535" s="10"/>
    </row>
    <row r="536" spans="1:13" ht="12.3">
      <c r="A536" s="34"/>
      <c r="B536" s="34"/>
      <c r="C536" s="34"/>
      <c r="D536" s="34"/>
      <c r="M536" s="10"/>
    </row>
    <row r="537" spans="1:13" ht="12.3">
      <c r="A537" s="34"/>
      <c r="B537" s="34"/>
      <c r="C537" s="34"/>
      <c r="D537" s="34"/>
      <c r="M537" s="10"/>
    </row>
    <row r="538" spans="1:13" ht="12.3">
      <c r="A538" s="34"/>
      <c r="B538" s="34"/>
      <c r="C538" s="34"/>
      <c r="D538" s="34"/>
      <c r="M538" s="10"/>
    </row>
    <row r="539" spans="1:13" ht="12.3">
      <c r="A539" s="34"/>
      <c r="B539" s="34"/>
      <c r="C539" s="34"/>
      <c r="D539" s="34"/>
      <c r="M539" s="10"/>
    </row>
    <row r="540" spans="1:13" ht="12.3">
      <c r="A540" s="34"/>
      <c r="B540" s="34"/>
      <c r="C540" s="34"/>
      <c r="D540" s="34"/>
      <c r="M540" s="10"/>
    </row>
    <row r="541" spans="1:13" ht="12.3">
      <c r="A541" s="34"/>
      <c r="B541" s="34"/>
      <c r="C541" s="34"/>
      <c r="D541" s="34"/>
      <c r="M541" s="10"/>
    </row>
    <row r="542" spans="1:13" ht="12.3">
      <c r="A542" s="34"/>
      <c r="B542" s="34"/>
      <c r="C542" s="34"/>
      <c r="D542" s="34"/>
      <c r="M542" s="10"/>
    </row>
    <row r="543" spans="1:13" ht="12.3">
      <c r="A543" s="34"/>
      <c r="B543" s="34"/>
      <c r="C543" s="34"/>
      <c r="D543" s="34"/>
      <c r="M543" s="10"/>
    </row>
    <row r="544" spans="1:13" ht="12.3">
      <c r="A544" s="34"/>
      <c r="B544" s="34"/>
      <c r="C544" s="34"/>
      <c r="D544" s="34"/>
      <c r="M544" s="10"/>
    </row>
    <row r="545" spans="1:13" ht="12.3">
      <c r="A545" s="34"/>
      <c r="B545" s="34"/>
      <c r="C545" s="34"/>
      <c r="D545" s="34"/>
      <c r="M545" s="10"/>
    </row>
    <row r="546" spans="1:13" ht="12.3">
      <c r="A546" s="34"/>
      <c r="B546" s="34"/>
      <c r="C546" s="34"/>
      <c r="D546" s="34"/>
      <c r="M546" s="10"/>
    </row>
    <row r="547" spans="1:13" ht="12.3">
      <c r="A547" s="34"/>
      <c r="B547" s="34"/>
      <c r="C547" s="34"/>
      <c r="D547" s="34"/>
      <c r="M547" s="10"/>
    </row>
    <row r="548" spans="1:13" ht="12.3">
      <c r="A548" s="34"/>
      <c r="B548" s="34"/>
      <c r="C548" s="34"/>
      <c r="D548" s="34"/>
      <c r="M548" s="10"/>
    </row>
    <row r="549" spans="1:13" ht="12.3">
      <c r="A549" s="34"/>
      <c r="B549" s="34"/>
      <c r="C549" s="34"/>
      <c r="D549" s="34"/>
      <c r="M549" s="10"/>
    </row>
    <row r="550" spans="1:13" ht="12.3">
      <c r="A550" s="34"/>
      <c r="B550" s="34"/>
      <c r="C550" s="34"/>
      <c r="D550" s="34"/>
      <c r="M550" s="10"/>
    </row>
    <row r="551" spans="1:13" ht="12.3">
      <c r="A551" s="34"/>
      <c r="B551" s="34"/>
      <c r="C551" s="34"/>
      <c r="D551" s="34"/>
      <c r="M551" s="10"/>
    </row>
    <row r="552" spans="1:13" ht="12.3">
      <c r="A552" s="34"/>
      <c r="B552" s="34"/>
      <c r="C552" s="34"/>
      <c r="D552" s="34"/>
      <c r="M552" s="10"/>
    </row>
    <row r="553" spans="1:13" ht="12.3">
      <c r="A553" s="34"/>
      <c r="B553" s="34"/>
      <c r="C553" s="34"/>
      <c r="D553" s="34"/>
      <c r="M553" s="10"/>
    </row>
    <row r="554" spans="1:13" ht="12.3">
      <c r="A554" s="34"/>
      <c r="B554" s="34"/>
      <c r="C554" s="34"/>
      <c r="D554" s="34"/>
      <c r="M554" s="10"/>
    </row>
    <row r="555" spans="1:13" ht="12.3">
      <c r="A555" s="34"/>
      <c r="B555" s="34"/>
      <c r="C555" s="34"/>
      <c r="D555" s="34"/>
      <c r="M555" s="10"/>
    </row>
    <row r="556" spans="1:13" ht="12.3">
      <c r="A556" s="34"/>
      <c r="B556" s="34"/>
      <c r="C556" s="34"/>
      <c r="D556" s="34"/>
      <c r="M556" s="10"/>
    </row>
    <row r="557" spans="1:13" ht="12.3">
      <c r="A557" s="34"/>
      <c r="B557" s="34"/>
      <c r="C557" s="34"/>
      <c r="D557" s="34"/>
      <c r="M557" s="10"/>
    </row>
    <row r="558" spans="1:13" ht="12.3">
      <c r="A558" s="34"/>
      <c r="B558" s="34"/>
      <c r="C558" s="34"/>
      <c r="D558" s="34"/>
      <c r="M558" s="10"/>
    </row>
    <row r="559" spans="1:13" ht="12.3">
      <c r="A559" s="34"/>
      <c r="B559" s="34"/>
      <c r="C559" s="34"/>
      <c r="D559" s="34"/>
      <c r="M559" s="10"/>
    </row>
    <row r="560" spans="1:13" ht="12.3">
      <c r="A560" s="34"/>
      <c r="B560" s="34"/>
      <c r="C560" s="34"/>
      <c r="D560" s="34"/>
      <c r="M560" s="10"/>
    </row>
    <row r="561" spans="1:13" ht="12.3">
      <c r="A561" s="34"/>
      <c r="B561" s="34"/>
      <c r="C561" s="34"/>
      <c r="D561" s="34"/>
      <c r="M561" s="10"/>
    </row>
    <row r="562" spans="1:13" ht="12.3">
      <c r="A562" s="34"/>
      <c r="B562" s="34"/>
      <c r="C562" s="34"/>
      <c r="D562" s="34"/>
      <c r="M562" s="10"/>
    </row>
    <row r="563" spans="1:13" ht="12.3">
      <c r="A563" s="34"/>
      <c r="B563" s="34"/>
      <c r="C563" s="34"/>
      <c r="D563" s="34"/>
      <c r="M563" s="10"/>
    </row>
    <row r="564" spans="1:13" ht="12.3">
      <c r="A564" s="34"/>
      <c r="B564" s="34"/>
      <c r="C564" s="34"/>
      <c r="D564" s="34"/>
      <c r="M564" s="10"/>
    </row>
    <row r="565" spans="1:13" ht="12.3">
      <c r="A565" s="34"/>
      <c r="B565" s="34"/>
      <c r="C565" s="34"/>
      <c r="D565" s="34"/>
      <c r="M565" s="10"/>
    </row>
    <row r="566" spans="1:13" ht="12.3">
      <c r="A566" s="34"/>
      <c r="B566" s="34"/>
      <c r="C566" s="34"/>
      <c r="D566" s="34"/>
      <c r="M566" s="10"/>
    </row>
    <row r="567" spans="1:13" ht="12.3">
      <c r="A567" s="34"/>
      <c r="B567" s="34"/>
      <c r="C567" s="34"/>
      <c r="D567" s="34"/>
      <c r="M567" s="10"/>
    </row>
    <row r="568" spans="1:13" ht="12.3">
      <c r="A568" s="34"/>
      <c r="B568" s="34"/>
      <c r="C568" s="34"/>
      <c r="D568" s="34"/>
      <c r="M568" s="10"/>
    </row>
    <row r="569" spans="1:13" ht="12.3">
      <c r="A569" s="34"/>
      <c r="B569" s="34"/>
      <c r="C569" s="34"/>
      <c r="D569" s="34"/>
      <c r="M569" s="10"/>
    </row>
    <row r="570" spans="1:13" ht="12.3">
      <c r="A570" s="34"/>
      <c r="B570" s="34"/>
      <c r="C570" s="34"/>
      <c r="D570" s="34"/>
      <c r="M570" s="10"/>
    </row>
    <row r="571" spans="1:13" ht="12.3">
      <c r="A571" s="34"/>
      <c r="B571" s="34"/>
      <c r="C571" s="34"/>
      <c r="D571" s="34"/>
      <c r="M571" s="10"/>
    </row>
    <row r="572" spans="1:13" ht="12.3">
      <c r="A572" s="34"/>
      <c r="B572" s="34"/>
      <c r="C572" s="34"/>
      <c r="D572" s="34"/>
      <c r="M572" s="10"/>
    </row>
    <row r="573" spans="1:13" ht="12.3">
      <c r="A573" s="34"/>
      <c r="B573" s="34"/>
      <c r="C573" s="34"/>
      <c r="D573" s="34"/>
      <c r="M573" s="10"/>
    </row>
    <row r="574" spans="1:13" ht="12.3">
      <c r="A574" s="34"/>
      <c r="B574" s="34"/>
      <c r="C574" s="34"/>
      <c r="D574" s="34"/>
      <c r="M574" s="10"/>
    </row>
    <row r="575" spans="1:13" ht="12.3">
      <c r="A575" s="34"/>
      <c r="B575" s="34"/>
      <c r="C575" s="34"/>
      <c r="D575" s="34"/>
      <c r="M575" s="10"/>
    </row>
    <row r="576" spans="1:13" ht="12.3">
      <c r="A576" s="34"/>
      <c r="B576" s="34"/>
      <c r="C576" s="34"/>
      <c r="D576" s="34"/>
      <c r="M576" s="10"/>
    </row>
    <row r="577" spans="1:13" ht="12.3">
      <c r="A577" s="34"/>
      <c r="B577" s="34"/>
      <c r="C577" s="34"/>
      <c r="D577" s="34"/>
      <c r="M577" s="10"/>
    </row>
    <row r="578" spans="1:13" ht="12.3">
      <c r="A578" s="34"/>
      <c r="B578" s="34"/>
      <c r="C578" s="34"/>
      <c r="D578" s="34"/>
      <c r="M578" s="10"/>
    </row>
    <row r="579" spans="1:13" ht="12.3">
      <c r="A579" s="34"/>
      <c r="B579" s="34"/>
      <c r="C579" s="34"/>
      <c r="D579" s="34"/>
      <c r="M579" s="10"/>
    </row>
    <row r="580" spans="1:13" ht="12.3">
      <c r="A580" s="34"/>
      <c r="B580" s="34"/>
      <c r="C580" s="34"/>
      <c r="D580" s="34"/>
      <c r="M580" s="10"/>
    </row>
    <row r="581" spans="1:13" ht="12.3">
      <c r="A581" s="34"/>
      <c r="B581" s="34"/>
      <c r="C581" s="34"/>
      <c r="D581" s="34"/>
      <c r="M581" s="10"/>
    </row>
    <row r="582" spans="1:13" ht="12.3">
      <c r="A582" s="34"/>
      <c r="B582" s="34"/>
      <c r="C582" s="34"/>
      <c r="D582" s="34"/>
      <c r="M582" s="10"/>
    </row>
    <row r="583" spans="1:13" ht="12.3">
      <c r="A583" s="34"/>
      <c r="B583" s="34"/>
      <c r="C583" s="34"/>
      <c r="D583" s="34"/>
      <c r="M583" s="10"/>
    </row>
    <row r="584" spans="1:13" ht="12.3">
      <c r="A584" s="34"/>
      <c r="B584" s="34"/>
      <c r="C584" s="34"/>
      <c r="D584" s="34"/>
      <c r="M584" s="10"/>
    </row>
    <row r="585" spans="1:13" ht="12.3">
      <c r="A585" s="34"/>
      <c r="B585" s="34"/>
      <c r="C585" s="34"/>
      <c r="D585" s="34"/>
      <c r="M585" s="10"/>
    </row>
    <row r="586" spans="1:13" ht="12.3">
      <c r="A586" s="34"/>
      <c r="B586" s="34"/>
      <c r="C586" s="34"/>
      <c r="D586" s="34"/>
      <c r="M586" s="10"/>
    </row>
    <row r="587" spans="1:13" ht="12.3">
      <c r="A587" s="34"/>
      <c r="B587" s="34"/>
      <c r="C587" s="34"/>
      <c r="D587" s="34"/>
      <c r="M587" s="10"/>
    </row>
    <row r="588" spans="1:13" ht="12.3">
      <c r="A588" s="34"/>
      <c r="B588" s="34"/>
      <c r="C588" s="34"/>
      <c r="D588" s="34"/>
      <c r="M588" s="10"/>
    </row>
    <row r="589" spans="1:13" ht="12.3">
      <c r="A589" s="34"/>
      <c r="B589" s="34"/>
      <c r="C589" s="34"/>
      <c r="D589" s="34"/>
      <c r="M589" s="10"/>
    </row>
    <row r="590" spans="1:13" ht="12.3">
      <c r="A590" s="34"/>
      <c r="B590" s="34"/>
      <c r="C590" s="34"/>
      <c r="D590" s="34"/>
      <c r="M590" s="10"/>
    </row>
    <row r="591" spans="1:13" ht="12.3">
      <c r="A591" s="34"/>
      <c r="B591" s="34"/>
      <c r="C591" s="34"/>
      <c r="D591" s="34"/>
      <c r="M591" s="10"/>
    </row>
    <row r="592" spans="1:13" ht="12.3">
      <c r="A592" s="34"/>
      <c r="B592" s="34"/>
      <c r="C592" s="34"/>
      <c r="D592" s="34"/>
      <c r="M592" s="10"/>
    </row>
    <row r="593" spans="1:13" ht="12.3">
      <c r="A593" s="34"/>
      <c r="B593" s="34"/>
      <c r="C593" s="34"/>
      <c r="D593" s="34"/>
      <c r="M593" s="10"/>
    </row>
    <row r="594" spans="1:13" ht="12.3">
      <c r="A594" s="34"/>
      <c r="B594" s="34"/>
      <c r="C594" s="34"/>
      <c r="D594" s="34"/>
      <c r="M594" s="10"/>
    </row>
    <row r="595" spans="1:13" ht="12.3">
      <c r="A595" s="34"/>
      <c r="B595" s="34"/>
      <c r="C595" s="34"/>
      <c r="D595" s="34"/>
      <c r="M595" s="10"/>
    </row>
    <row r="596" spans="1:13" ht="12.3">
      <c r="A596" s="34"/>
      <c r="B596" s="34"/>
      <c r="C596" s="34"/>
      <c r="D596" s="34"/>
      <c r="M596" s="10"/>
    </row>
    <row r="597" spans="1:13" ht="12.3">
      <c r="A597" s="34"/>
      <c r="B597" s="34"/>
      <c r="C597" s="34"/>
      <c r="D597" s="34"/>
      <c r="M597" s="10"/>
    </row>
    <row r="598" spans="1:13" ht="12.3">
      <c r="A598" s="34"/>
      <c r="B598" s="34"/>
      <c r="C598" s="34"/>
      <c r="D598" s="34"/>
      <c r="M598" s="10"/>
    </row>
    <row r="599" spans="1:13" ht="12.3">
      <c r="A599" s="34"/>
      <c r="B599" s="34"/>
      <c r="C599" s="34"/>
      <c r="D599" s="34"/>
      <c r="M599" s="10"/>
    </row>
    <row r="600" spans="1:13" ht="12.3">
      <c r="A600" s="34"/>
      <c r="B600" s="34"/>
      <c r="C600" s="34"/>
      <c r="D600" s="34"/>
      <c r="M600" s="10"/>
    </row>
    <row r="601" spans="1:13" ht="12.3">
      <c r="A601" s="34"/>
      <c r="B601" s="34"/>
      <c r="C601" s="34"/>
      <c r="D601" s="34"/>
      <c r="M601" s="10"/>
    </row>
    <row r="602" spans="1:13" ht="12.3">
      <c r="A602" s="34"/>
      <c r="B602" s="34"/>
      <c r="C602" s="34"/>
      <c r="D602" s="34"/>
      <c r="M602" s="10"/>
    </row>
    <row r="603" spans="1:13" ht="12.3">
      <c r="A603" s="34"/>
      <c r="B603" s="34"/>
      <c r="C603" s="34"/>
      <c r="D603" s="34"/>
      <c r="M603" s="10"/>
    </row>
    <row r="604" spans="1:13" ht="12.3">
      <c r="A604" s="34"/>
      <c r="B604" s="34"/>
      <c r="C604" s="34"/>
      <c r="D604" s="34"/>
      <c r="M604" s="10"/>
    </row>
    <row r="605" spans="1:13" ht="12.3">
      <c r="A605" s="34"/>
      <c r="B605" s="34"/>
      <c r="C605" s="34"/>
      <c r="D605" s="34"/>
      <c r="M605" s="10"/>
    </row>
    <row r="606" spans="1:13" ht="12.3">
      <c r="A606" s="34"/>
      <c r="B606" s="34"/>
      <c r="C606" s="34"/>
      <c r="D606" s="34"/>
      <c r="M606" s="10"/>
    </row>
    <row r="607" spans="1:13" ht="12.3">
      <c r="A607" s="34"/>
      <c r="B607" s="34"/>
      <c r="C607" s="34"/>
      <c r="D607" s="34"/>
      <c r="M607" s="10"/>
    </row>
    <row r="608" spans="1:13" ht="12.3">
      <c r="A608" s="34"/>
      <c r="B608" s="34"/>
      <c r="C608" s="34"/>
      <c r="D608" s="34"/>
      <c r="M608" s="10"/>
    </row>
    <row r="609" spans="1:13" ht="12.3">
      <c r="A609" s="34"/>
      <c r="B609" s="34"/>
      <c r="C609" s="34"/>
      <c r="D609" s="34"/>
      <c r="M609" s="10"/>
    </row>
    <row r="610" spans="1:13" ht="12.3">
      <c r="A610" s="34"/>
      <c r="B610" s="34"/>
      <c r="C610" s="34"/>
      <c r="D610" s="34"/>
      <c r="M610" s="10"/>
    </row>
    <row r="611" spans="1:13" ht="12.3">
      <c r="A611" s="34"/>
      <c r="B611" s="34"/>
      <c r="C611" s="34"/>
      <c r="D611" s="34"/>
      <c r="M611" s="10"/>
    </row>
    <row r="612" spans="1:13" ht="12.3">
      <c r="A612" s="34"/>
      <c r="B612" s="34"/>
      <c r="C612" s="34"/>
      <c r="D612" s="34"/>
      <c r="M612" s="10"/>
    </row>
    <row r="613" spans="1:13" ht="12.3">
      <c r="A613" s="34"/>
      <c r="B613" s="34"/>
      <c r="C613" s="34"/>
      <c r="D613" s="34"/>
      <c r="M613" s="10"/>
    </row>
    <row r="614" spans="1:13" ht="12.3">
      <c r="A614" s="34"/>
      <c r="B614" s="34"/>
      <c r="C614" s="34"/>
      <c r="D614" s="34"/>
      <c r="M614" s="10"/>
    </row>
    <row r="615" spans="1:13" ht="12.3">
      <c r="A615" s="34"/>
      <c r="B615" s="34"/>
      <c r="C615" s="34"/>
      <c r="D615" s="34"/>
      <c r="M615" s="10"/>
    </row>
    <row r="616" spans="1:13" ht="12.3">
      <c r="A616" s="34"/>
      <c r="B616" s="34"/>
      <c r="C616" s="34"/>
      <c r="D616" s="34"/>
      <c r="M616" s="10"/>
    </row>
    <row r="617" spans="1:13" ht="12.3">
      <c r="A617" s="34"/>
      <c r="B617" s="34"/>
      <c r="C617" s="34"/>
      <c r="D617" s="34"/>
      <c r="M617" s="10"/>
    </row>
    <row r="618" spans="1:13" ht="12.3">
      <c r="A618" s="34"/>
      <c r="B618" s="34"/>
      <c r="C618" s="34"/>
      <c r="D618" s="34"/>
      <c r="M618" s="10"/>
    </row>
    <row r="619" spans="1:13" ht="12.3">
      <c r="A619" s="34"/>
      <c r="B619" s="34"/>
      <c r="C619" s="34"/>
      <c r="D619" s="34"/>
      <c r="M619" s="10"/>
    </row>
    <row r="620" spans="1:13" ht="12.3">
      <c r="A620" s="34"/>
      <c r="B620" s="34"/>
      <c r="C620" s="34"/>
      <c r="D620" s="34"/>
      <c r="M620" s="10"/>
    </row>
    <row r="621" spans="1:13" ht="12.3">
      <c r="A621" s="34"/>
      <c r="B621" s="34"/>
      <c r="C621" s="34"/>
      <c r="D621" s="34"/>
      <c r="M621" s="10"/>
    </row>
    <row r="622" spans="1:13" ht="12.3">
      <c r="A622" s="34"/>
      <c r="B622" s="34"/>
      <c r="C622" s="34"/>
      <c r="D622" s="34"/>
      <c r="M622" s="10"/>
    </row>
    <row r="623" spans="1:13" ht="12.3">
      <c r="A623" s="34"/>
      <c r="B623" s="34"/>
      <c r="C623" s="34"/>
      <c r="D623" s="34"/>
      <c r="M623" s="10"/>
    </row>
    <row r="624" spans="1:13" ht="12.3">
      <c r="A624" s="34"/>
      <c r="B624" s="34"/>
      <c r="C624" s="34"/>
      <c r="D624" s="34"/>
      <c r="M624" s="10"/>
    </row>
    <row r="625" spans="1:13" ht="12.3">
      <c r="A625" s="34"/>
      <c r="B625" s="34"/>
      <c r="C625" s="34"/>
      <c r="D625" s="34"/>
      <c r="M625" s="10"/>
    </row>
    <row r="626" spans="1:13" ht="12.3">
      <c r="A626" s="34"/>
      <c r="B626" s="34"/>
      <c r="C626" s="34"/>
      <c r="D626" s="34"/>
      <c r="M626" s="10"/>
    </row>
    <row r="627" spans="1:13" ht="12.3">
      <c r="A627" s="34"/>
      <c r="B627" s="34"/>
      <c r="C627" s="34"/>
      <c r="D627" s="34"/>
      <c r="M627" s="10"/>
    </row>
    <row r="628" spans="1:13" ht="12.3">
      <c r="A628" s="34"/>
      <c r="B628" s="34"/>
      <c r="C628" s="34"/>
      <c r="D628" s="34"/>
      <c r="M628" s="10"/>
    </row>
    <row r="629" spans="1:13" ht="12.3">
      <c r="A629" s="34"/>
      <c r="B629" s="34"/>
      <c r="C629" s="34"/>
      <c r="D629" s="34"/>
      <c r="M629" s="10"/>
    </row>
    <row r="630" spans="1:13" ht="12.3">
      <c r="A630" s="34"/>
      <c r="B630" s="34"/>
      <c r="C630" s="34"/>
      <c r="D630" s="34"/>
      <c r="M630" s="10"/>
    </row>
    <row r="631" spans="1:13" ht="12.3">
      <c r="A631" s="34"/>
      <c r="B631" s="34"/>
      <c r="C631" s="34"/>
      <c r="D631" s="34"/>
      <c r="M631" s="10"/>
    </row>
    <row r="632" spans="1:13" ht="12.3">
      <c r="A632" s="34"/>
      <c r="B632" s="34"/>
      <c r="C632" s="34"/>
      <c r="D632" s="34"/>
      <c r="M632" s="10"/>
    </row>
    <row r="633" spans="1:13" ht="12.3">
      <c r="A633" s="34"/>
      <c r="B633" s="34"/>
      <c r="C633" s="34"/>
      <c r="D633" s="34"/>
      <c r="M633" s="10"/>
    </row>
    <row r="634" spans="1:13" ht="12.3">
      <c r="A634" s="34"/>
      <c r="B634" s="34"/>
      <c r="C634" s="34"/>
      <c r="D634" s="34"/>
      <c r="M634" s="10"/>
    </row>
    <row r="635" spans="1:13" ht="12.3">
      <c r="A635" s="34"/>
      <c r="B635" s="34"/>
      <c r="C635" s="34"/>
      <c r="D635" s="34"/>
      <c r="M635" s="10"/>
    </row>
    <row r="636" spans="1:13" ht="12.3">
      <c r="A636" s="34"/>
      <c r="B636" s="34"/>
      <c r="C636" s="34"/>
      <c r="D636" s="34"/>
      <c r="M636" s="10"/>
    </row>
    <row r="637" spans="1:13" ht="12.3">
      <c r="A637" s="34"/>
      <c r="B637" s="34"/>
      <c r="C637" s="34"/>
      <c r="D637" s="34"/>
      <c r="M637" s="10"/>
    </row>
    <row r="638" spans="1:13" ht="12.3">
      <c r="A638" s="34"/>
      <c r="B638" s="34"/>
      <c r="C638" s="34"/>
      <c r="D638" s="34"/>
      <c r="M638" s="10"/>
    </row>
    <row r="639" spans="1:13" ht="12.3">
      <c r="A639" s="34"/>
      <c r="B639" s="34"/>
      <c r="C639" s="34"/>
      <c r="D639" s="34"/>
      <c r="M639" s="10"/>
    </row>
    <row r="640" spans="1:13" ht="12.3">
      <c r="A640" s="34"/>
      <c r="B640" s="34"/>
      <c r="C640" s="34"/>
      <c r="D640" s="34"/>
      <c r="M640" s="10"/>
    </row>
    <row r="641" spans="1:13" ht="12.3">
      <c r="A641" s="34"/>
      <c r="B641" s="34"/>
      <c r="C641" s="34"/>
      <c r="D641" s="34"/>
      <c r="M641" s="10"/>
    </row>
    <row r="642" spans="1:13" ht="12.3">
      <c r="A642" s="34"/>
      <c r="B642" s="34"/>
      <c r="C642" s="34"/>
      <c r="D642" s="34"/>
      <c r="M642" s="10"/>
    </row>
    <row r="643" spans="1:13" ht="12.3">
      <c r="A643" s="34"/>
      <c r="B643" s="34"/>
      <c r="C643" s="34"/>
      <c r="D643" s="34"/>
      <c r="M643" s="10"/>
    </row>
    <row r="644" spans="1:13" ht="12.3">
      <c r="A644" s="34"/>
      <c r="B644" s="34"/>
      <c r="C644" s="34"/>
      <c r="D644" s="34"/>
      <c r="M644" s="10"/>
    </row>
    <row r="645" spans="1:13" ht="12.3">
      <c r="A645" s="34"/>
      <c r="B645" s="34"/>
      <c r="C645" s="34"/>
      <c r="D645" s="34"/>
      <c r="M645" s="10"/>
    </row>
    <row r="646" spans="1:13" ht="12.3">
      <c r="A646" s="34"/>
      <c r="B646" s="34"/>
      <c r="C646" s="34"/>
      <c r="D646" s="34"/>
      <c r="M646" s="10"/>
    </row>
    <row r="647" spans="1:13" ht="12.3">
      <c r="A647" s="34"/>
      <c r="B647" s="34"/>
      <c r="C647" s="34"/>
      <c r="D647" s="34"/>
      <c r="M647" s="10"/>
    </row>
    <row r="648" spans="1:13" ht="12.3">
      <c r="A648" s="34"/>
      <c r="B648" s="34"/>
      <c r="C648" s="34"/>
      <c r="D648" s="34"/>
      <c r="M648" s="10"/>
    </row>
    <row r="649" spans="1:13" ht="12.3">
      <c r="A649" s="34"/>
      <c r="B649" s="34"/>
      <c r="C649" s="34"/>
      <c r="D649" s="34"/>
      <c r="M649" s="10"/>
    </row>
    <row r="650" spans="1:13" ht="12.3">
      <c r="A650" s="34"/>
      <c r="B650" s="34"/>
      <c r="C650" s="34"/>
      <c r="D650" s="34"/>
      <c r="M650" s="10"/>
    </row>
    <row r="651" spans="1:13" ht="12.3">
      <c r="A651" s="34"/>
      <c r="B651" s="34"/>
      <c r="C651" s="34"/>
      <c r="D651" s="34"/>
      <c r="M651" s="10"/>
    </row>
    <row r="652" spans="1:13" ht="12.3">
      <c r="A652" s="34"/>
      <c r="B652" s="34"/>
      <c r="C652" s="34"/>
      <c r="D652" s="34"/>
      <c r="M652" s="10"/>
    </row>
    <row r="653" spans="1:13" ht="12.3">
      <c r="A653" s="34"/>
      <c r="B653" s="34"/>
      <c r="C653" s="34"/>
      <c r="D653" s="34"/>
      <c r="M653" s="10"/>
    </row>
    <row r="654" spans="1:13" ht="12.3">
      <c r="A654" s="34"/>
      <c r="B654" s="34"/>
      <c r="C654" s="34"/>
      <c r="D654" s="34"/>
      <c r="M654" s="10"/>
    </row>
    <row r="655" spans="1:13" ht="12.3">
      <c r="A655" s="34"/>
      <c r="B655" s="34"/>
      <c r="C655" s="34"/>
      <c r="D655" s="34"/>
      <c r="M655" s="10"/>
    </row>
    <row r="656" spans="1:13" ht="12.3">
      <c r="A656" s="34"/>
      <c r="B656" s="34"/>
      <c r="C656" s="34"/>
      <c r="D656" s="34"/>
      <c r="M656" s="10"/>
    </row>
    <row r="657" spans="1:13" ht="12.3">
      <c r="A657" s="34"/>
      <c r="B657" s="34"/>
      <c r="C657" s="34"/>
      <c r="D657" s="34"/>
      <c r="M657" s="10"/>
    </row>
    <row r="658" spans="1:13" ht="12.3">
      <c r="A658" s="34"/>
      <c r="B658" s="34"/>
      <c r="C658" s="34"/>
      <c r="D658" s="34"/>
      <c r="M658" s="10"/>
    </row>
    <row r="659" spans="1:13" ht="12.3">
      <c r="A659" s="34"/>
      <c r="B659" s="34"/>
      <c r="C659" s="34"/>
      <c r="D659" s="34"/>
      <c r="M659" s="10"/>
    </row>
    <row r="660" spans="1:13" ht="12.3">
      <c r="A660" s="34"/>
      <c r="B660" s="34"/>
      <c r="C660" s="34"/>
      <c r="D660" s="34"/>
      <c r="M660" s="10"/>
    </row>
    <row r="661" spans="1:13" ht="12.3">
      <c r="A661" s="34"/>
      <c r="B661" s="34"/>
      <c r="C661" s="34"/>
      <c r="D661" s="34"/>
      <c r="M661" s="10"/>
    </row>
    <row r="662" spans="1:13" ht="12.3">
      <c r="A662" s="34"/>
      <c r="B662" s="34"/>
      <c r="C662" s="34"/>
      <c r="D662" s="34"/>
      <c r="M662" s="10"/>
    </row>
    <row r="663" spans="1:13" ht="12.3">
      <c r="A663" s="34"/>
      <c r="B663" s="34"/>
      <c r="C663" s="34"/>
      <c r="D663" s="34"/>
      <c r="M663" s="10"/>
    </row>
    <row r="664" spans="1:13" ht="12.3">
      <c r="A664" s="34"/>
      <c r="B664" s="34"/>
      <c r="C664" s="34"/>
      <c r="D664" s="34"/>
      <c r="M664" s="10"/>
    </row>
    <row r="665" spans="1:13" ht="12.3">
      <c r="A665" s="34"/>
      <c r="B665" s="34"/>
      <c r="C665" s="34"/>
      <c r="D665" s="34"/>
      <c r="M665" s="10"/>
    </row>
    <row r="666" spans="1:13" ht="12.3">
      <c r="A666" s="34"/>
      <c r="B666" s="34"/>
      <c r="C666" s="34"/>
      <c r="D666" s="34"/>
      <c r="M666" s="10"/>
    </row>
    <row r="667" spans="1:13" ht="12.3">
      <c r="A667" s="34"/>
      <c r="B667" s="34"/>
      <c r="C667" s="34"/>
      <c r="D667" s="34"/>
      <c r="M667" s="10"/>
    </row>
    <row r="668" spans="1:13" ht="12.3">
      <c r="A668" s="34"/>
      <c r="B668" s="34"/>
      <c r="C668" s="34"/>
      <c r="D668" s="34"/>
      <c r="M668" s="10"/>
    </row>
    <row r="669" spans="1:13" ht="12.3">
      <c r="A669" s="34"/>
      <c r="B669" s="34"/>
      <c r="C669" s="34"/>
      <c r="D669" s="34"/>
      <c r="M669" s="10"/>
    </row>
    <row r="670" spans="1:13" ht="12.3">
      <c r="A670" s="34"/>
      <c r="B670" s="34"/>
      <c r="C670" s="34"/>
      <c r="D670" s="34"/>
      <c r="M670" s="10"/>
    </row>
    <row r="671" spans="1:13" ht="12.3">
      <c r="A671" s="34"/>
      <c r="B671" s="34"/>
      <c r="C671" s="34"/>
      <c r="D671" s="34"/>
      <c r="M671" s="10"/>
    </row>
    <row r="672" spans="1:13" ht="12.3">
      <c r="A672" s="34"/>
      <c r="B672" s="34"/>
      <c r="C672" s="34"/>
      <c r="D672" s="34"/>
      <c r="M672" s="10"/>
    </row>
    <row r="673" spans="1:13" ht="12.3">
      <c r="A673" s="34"/>
      <c r="B673" s="34"/>
      <c r="C673" s="34"/>
      <c r="D673" s="34"/>
      <c r="M673" s="10"/>
    </row>
    <row r="674" spans="1:13" ht="12.3">
      <c r="A674" s="34"/>
      <c r="B674" s="34"/>
      <c r="C674" s="34"/>
      <c r="D674" s="34"/>
      <c r="M674" s="10"/>
    </row>
    <row r="675" spans="1:13" ht="12.3">
      <c r="A675" s="34"/>
      <c r="B675" s="34"/>
      <c r="C675" s="34"/>
      <c r="D675" s="34"/>
      <c r="M675" s="10"/>
    </row>
    <row r="676" spans="1:13" ht="12.3">
      <c r="A676" s="34"/>
      <c r="B676" s="34"/>
      <c r="C676" s="34"/>
      <c r="D676" s="34"/>
      <c r="M676" s="10"/>
    </row>
    <row r="677" spans="1:13" ht="12.3">
      <c r="A677" s="34"/>
      <c r="B677" s="34"/>
      <c r="C677" s="34"/>
      <c r="D677" s="34"/>
      <c r="M677" s="10"/>
    </row>
    <row r="678" spans="1:13" ht="12.3">
      <c r="A678" s="34"/>
      <c r="B678" s="34"/>
      <c r="C678" s="34"/>
      <c r="D678" s="34"/>
      <c r="M678" s="10"/>
    </row>
    <row r="679" spans="1:13" ht="12.3">
      <c r="A679" s="34"/>
      <c r="B679" s="34"/>
      <c r="C679" s="34"/>
      <c r="D679" s="34"/>
      <c r="M679" s="10"/>
    </row>
    <row r="680" spans="1:13" ht="12.3">
      <c r="A680" s="34"/>
      <c r="B680" s="34"/>
      <c r="C680" s="34"/>
      <c r="D680" s="34"/>
      <c r="M680" s="10"/>
    </row>
    <row r="681" spans="1:13" ht="12.3">
      <c r="A681" s="34"/>
      <c r="B681" s="34"/>
      <c r="C681" s="34"/>
      <c r="D681" s="34"/>
      <c r="M681" s="10"/>
    </row>
    <row r="682" spans="1:13" ht="12.3">
      <c r="A682" s="34"/>
      <c r="B682" s="34"/>
      <c r="C682" s="34"/>
      <c r="D682" s="34"/>
      <c r="M682" s="10"/>
    </row>
    <row r="683" spans="1:13" ht="12.3">
      <c r="A683" s="34"/>
      <c r="B683" s="34"/>
      <c r="C683" s="34"/>
      <c r="D683" s="34"/>
      <c r="M683" s="10"/>
    </row>
    <row r="684" spans="1:13" ht="12.3">
      <c r="A684" s="34"/>
      <c r="B684" s="34"/>
      <c r="C684" s="34"/>
      <c r="D684" s="34"/>
      <c r="M684" s="10"/>
    </row>
    <row r="685" spans="1:13" ht="12.3">
      <c r="A685" s="34"/>
      <c r="B685" s="34"/>
      <c r="C685" s="34"/>
      <c r="D685" s="34"/>
      <c r="M685" s="10"/>
    </row>
    <row r="686" spans="1:13" ht="12.3">
      <c r="A686" s="34"/>
      <c r="B686" s="34"/>
      <c r="C686" s="34"/>
      <c r="D686" s="34"/>
      <c r="M686" s="10"/>
    </row>
    <row r="687" spans="1:13" ht="12.3">
      <c r="A687" s="34"/>
      <c r="B687" s="34"/>
      <c r="C687" s="34"/>
      <c r="D687" s="34"/>
      <c r="M687" s="10"/>
    </row>
    <row r="688" spans="1:13" ht="12.3">
      <c r="A688" s="34"/>
      <c r="B688" s="34"/>
      <c r="C688" s="34"/>
      <c r="D688" s="34"/>
      <c r="M688" s="10"/>
    </row>
    <row r="689" spans="1:13" ht="12.3">
      <c r="A689" s="34"/>
      <c r="B689" s="34"/>
      <c r="C689" s="34"/>
      <c r="D689" s="34"/>
      <c r="M689" s="10"/>
    </row>
    <row r="690" spans="1:13" ht="12.3">
      <c r="A690" s="34"/>
      <c r="B690" s="34"/>
      <c r="C690" s="34"/>
      <c r="D690" s="34"/>
      <c r="M690" s="10"/>
    </row>
    <row r="691" spans="1:13" ht="12.3">
      <c r="A691" s="34"/>
      <c r="B691" s="34"/>
      <c r="C691" s="34"/>
      <c r="D691" s="34"/>
      <c r="M691" s="10"/>
    </row>
    <row r="692" spans="1:13" ht="12.3">
      <c r="A692" s="34"/>
      <c r="B692" s="34"/>
      <c r="C692" s="34"/>
      <c r="D692" s="34"/>
      <c r="M692" s="10"/>
    </row>
    <row r="693" spans="1:13" ht="12.3">
      <c r="A693" s="34"/>
      <c r="B693" s="34"/>
      <c r="C693" s="34"/>
      <c r="D693" s="34"/>
      <c r="M693" s="10"/>
    </row>
    <row r="694" spans="1:13" ht="12.3">
      <c r="A694" s="34"/>
      <c r="B694" s="34"/>
      <c r="C694" s="34"/>
      <c r="D694" s="34"/>
      <c r="M694" s="10"/>
    </row>
    <row r="695" spans="1:13" ht="12.3">
      <c r="A695" s="34"/>
      <c r="B695" s="34"/>
      <c r="C695" s="34"/>
      <c r="D695" s="34"/>
      <c r="M695" s="10"/>
    </row>
    <row r="696" spans="1:13" ht="12.3">
      <c r="A696" s="34"/>
      <c r="B696" s="34"/>
      <c r="C696" s="34"/>
      <c r="D696" s="34"/>
      <c r="M696" s="10"/>
    </row>
    <row r="697" spans="1:13" ht="12.3">
      <c r="A697" s="34"/>
      <c r="B697" s="34"/>
      <c r="C697" s="34"/>
      <c r="D697" s="34"/>
      <c r="M697" s="10"/>
    </row>
    <row r="698" spans="1:13" ht="12.3">
      <c r="A698" s="34"/>
      <c r="B698" s="34"/>
      <c r="C698" s="34"/>
      <c r="D698" s="34"/>
      <c r="M698" s="10"/>
    </row>
    <row r="699" spans="1:13" ht="12.3">
      <c r="A699" s="34"/>
      <c r="B699" s="34"/>
      <c r="C699" s="34"/>
      <c r="D699" s="34"/>
      <c r="M699" s="10"/>
    </row>
    <row r="700" spans="1:13" ht="12.3">
      <c r="A700" s="34"/>
      <c r="B700" s="34"/>
      <c r="C700" s="34"/>
      <c r="D700" s="34"/>
      <c r="M700" s="10"/>
    </row>
    <row r="701" spans="1:13" ht="12.3">
      <c r="A701" s="34"/>
      <c r="B701" s="34"/>
      <c r="C701" s="34"/>
      <c r="D701" s="34"/>
      <c r="M701" s="10"/>
    </row>
    <row r="702" spans="1:13" ht="12.3">
      <c r="A702" s="34"/>
      <c r="B702" s="34"/>
      <c r="C702" s="34"/>
      <c r="D702" s="34"/>
      <c r="M702" s="10"/>
    </row>
    <row r="703" spans="1:13" ht="12.3">
      <c r="A703" s="34"/>
      <c r="B703" s="34"/>
      <c r="C703" s="34"/>
      <c r="D703" s="34"/>
      <c r="M703" s="10"/>
    </row>
    <row r="704" spans="1:13" ht="12.3">
      <c r="A704" s="34"/>
      <c r="B704" s="34"/>
      <c r="C704" s="34"/>
      <c r="D704" s="34"/>
      <c r="M704" s="10"/>
    </row>
    <row r="705" spans="1:13" ht="12.3">
      <c r="A705" s="34"/>
      <c r="B705" s="34"/>
      <c r="C705" s="34"/>
      <c r="D705" s="34"/>
      <c r="M705" s="10"/>
    </row>
    <row r="706" spans="1:13" ht="12.3">
      <c r="A706" s="34"/>
      <c r="B706" s="34"/>
      <c r="C706" s="34"/>
      <c r="D706" s="34"/>
      <c r="M706" s="10"/>
    </row>
    <row r="707" spans="1:13" ht="12.3">
      <c r="A707" s="34"/>
      <c r="B707" s="34"/>
      <c r="C707" s="34"/>
      <c r="D707" s="34"/>
      <c r="M707" s="10"/>
    </row>
    <row r="708" spans="1:13" ht="12.3">
      <c r="A708" s="34"/>
      <c r="B708" s="34"/>
      <c r="C708" s="34"/>
      <c r="D708" s="34"/>
      <c r="M708" s="10"/>
    </row>
    <row r="709" spans="1:13" ht="12.3">
      <c r="A709" s="34"/>
      <c r="B709" s="34"/>
      <c r="C709" s="34"/>
      <c r="D709" s="34"/>
      <c r="M709" s="10"/>
    </row>
    <row r="710" spans="1:13" ht="12.3">
      <c r="A710" s="34"/>
      <c r="B710" s="34"/>
      <c r="C710" s="34"/>
      <c r="D710" s="34"/>
      <c r="M710" s="10"/>
    </row>
    <row r="711" spans="1:13" ht="12.3">
      <c r="A711" s="34"/>
      <c r="B711" s="34"/>
      <c r="C711" s="34"/>
      <c r="D711" s="34"/>
      <c r="M711" s="10"/>
    </row>
    <row r="712" spans="1:13" ht="12.3">
      <c r="A712" s="34"/>
      <c r="B712" s="34"/>
      <c r="C712" s="34"/>
      <c r="D712" s="34"/>
      <c r="M712" s="10"/>
    </row>
    <row r="713" spans="1:13" ht="12.3">
      <c r="A713" s="34"/>
      <c r="B713" s="34"/>
      <c r="C713" s="34"/>
      <c r="D713" s="34"/>
      <c r="M713" s="10"/>
    </row>
    <row r="714" spans="1:13" ht="12.3">
      <c r="A714" s="34"/>
      <c r="B714" s="34"/>
      <c r="C714" s="34"/>
      <c r="D714" s="34"/>
      <c r="M714" s="10"/>
    </row>
    <row r="715" spans="1:13" ht="12.3">
      <c r="A715" s="34"/>
      <c r="B715" s="34"/>
      <c r="C715" s="34"/>
      <c r="D715" s="34"/>
      <c r="M715" s="10"/>
    </row>
    <row r="716" spans="1:13" ht="12.3">
      <c r="A716" s="34"/>
      <c r="B716" s="34"/>
      <c r="C716" s="34"/>
      <c r="D716" s="34"/>
      <c r="M716" s="10"/>
    </row>
    <row r="717" spans="1:13" ht="12.3">
      <c r="A717" s="34"/>
      <c r="B717" s="34"/>
      <c r="C717" s="34"/>
      <c r="D717" s="34"/>
      <c r="M717" s="10"/>
    </row>
    <row r="718" spans="1:13" ht="12.3">
      <c r="A718" s="34"/>
      <c r="B718" s="34"/>
      <c r="C718" s="34"/>
      <c r="D718" s="34"/>
      <c r="M718" s="10"/>
    </row>
    <row r="719" spans="1:13" ht="12.3">
      <c r="A719" s="34"/>
      <c r="B719" s="34"/>
      <c r="C719" s="34"/>
      <c r="D719" s="34"/>
      <c r="M719" s="10"/>
    </row>
    <row r="720" spans="1:13" ht="12.3">
      <c r="A720" s="34"/>
      <c r="B720" s="34"/>
      <c r="C720" s="34"/>
      <c r="D720" s="34"/>
      <c r="M720" s="10"/>
    </row>
    <row r="721" spans="1:13" ht="12.3">
      <c r="A721" s="34"/>
      <c r="B721" s="34"/>
      <c r="C721" s="34"/>
      <c r="D721" s="34"/>
      <c r="M721" s="10"/>
    </row>
    <row r="722" spans="1:13" ht="12.3">
      <c r="A722" s="34"/>
      <c r="B722" s="34"/>
      <c r="C722" s="34"/>
      <c r="D722" s="34"/>
      <c r="M722" s="10"/>
    </row>
    <row r="723" spans="1:13" ht="12.3">
      <c r="A723" s="34"/>
      <c r="B723" s="34"/>
      <c r="C723" s="34"/>
      <c r="D723" s="34"/>
      <c r="M723" s="10"/>
    </row>
    <row r="724" spans="1:13" ht="12.3">
      <c r="A724" s="34"/>
      <c r="B724" s="34"/>
      <c r="C724" s="34"/>
      <c r="D724" s="34"/>
      <c r="M724" s="10"/>
    </row>
    <row r="725" spans="1:13" ht="12.3">
      <c r="A725" s="34"/>
      <c r="B725" s="34"/>
      <c r="C725" s="34"/>
      <c r="D725" s="34"/>
      <c r="M725" s="10"/>
    </row>
    <row r="726" spans="1:13" ht="12.3">
      <c r="A726" s="34"/>
      <c r="B726" s="34"/>
      <c r="C726" s="34"/>
      <c r="D726" s="34"/>
      <c r="M726" s="10"/>
    </row>
    <row r="727" spans="1:13" ht="12.3">
      <c r="A727" s="34"/>
      <c r="B727" s="34"/>
      <c r="C727" s="34"/>
      <c r="D727" s="34"/>
      <c r="M727" s="10"/>
    </row>
    <row r="728" spans="1:13" ht="12.3">
      <c r="A728" s="34"/>
      <c r="B728" s="34"/>
      <c r="C728" s="34"/>
      <c r="D728" s="34"/>
      <c r="M728" s="10"/>
    </row>
    <row r="729" spans="1:13" ht="12.3">
      <c r="A729" s="34"/>
      <c r="B729" s="34"/>
      <c r="C729" s="34"/>
      <c r="D729" s="34"/>
      <c r="M729" s="10"/>
    </row>
    <row r="730" spans="1:13" ht="12.3">
      <c r="A730" s="34"/>
      <c r="B730" s="34"/>
      <c r="C730" s="34"/>
      <c r="D730" s="34"/>
      <c r="M730" s="10"/>
    </row>
    <row r="731" spans="1:13" ht="12.3">
      <c r="A731" s="34"/>
      <c r="B731" s="34"/>
      <c r="C731" s="34"/>
      <c r="D731" s="34"/>
      <c r="M731" s="10"/>
    </row>
    <row r="732" spans="1:13" ht="12.3">
      <c r="A732" s="34"/>
      <c r="B732" s="34"/>
      <c r="C732" s="34"/>
      <c r="D732" s="34"/>
      <c r="M732" s="10"/>
    </row>
    <row r="733" spans="1:13" ht="12.3">
      <c r="A733" s="34"/>
      <c r="B733" s="34"/>
      <c r="C733" s="34"/>
      <c r="D733" s="34"/>
      <c r="M733" s="10"/>
    </row>
    <row r="734" spans="1:13" ht="12.3">
      <c r="A734" s="34"/>
      <c r="B734" s="34"/>
      <c r="C734" s="34"/>
      <c r="D734" s="34"/>
      <c r="M734" s="10"/>
    </row>
    <row r="735" spans="1:13" ht="12.3">
      <c r="A735" s="34"/>
      <c r="B735" s="34"/>
      <c r="C735" s="34"/>
      <c r="D735" s="34"/>
      <c r="M735" s="10"/>
    </row>
    <row r="736" spans="1:13" ht="12.3">
      <c r="A736" s="34"/>
      <c r="B736" s="34"/>
      <c r="C736" s="34"/>
      <c r="D736" s="34"/>
      <c r="M736" s="10"/>
    </row>
    <row r="737" spans="1:13" ht="12.3">
      <c r="A737" s="34"/>
      <c r="B737" s="34"/>
      <c r="C737" s="34"/>
      <c r="D737" s="34"/>
      <c r="M737" s="10"/>
    </row>
    <row r="738" spans="1:13" ht="12.3">
      <c r="A738" s="34"/>
      <c r="B738" s="34"/>
      <c r="C738" s="34"/>
      <c r="D738" s="34"/>
      <c r="M738" s="10"/>
    </row>
    <row r="739" spans="1:13" ht="12.3">
      <c r="A739" s="34"/>
      <c r="B739" s="34"/>
      <c r="C739" s="34"/>
      <c r="D739" s="34"/>
      <c r="M739" s="10"/>
    </row>
    <row r="740" spans="1:13" ht="12.3">
      <c r="A740" s="34"/>
      <c r="B740" s="34"/>
      <c r="C740" s="34"/>
      <c r="D740" s="34"/>
      <c r="M740" s="10"/>
    </row>
    <row r="741" spans="1:13" ht="12.3">
      <c r="A741" s="34"/>
      <c r="B741" s="34"/>
      <c r="C741" s="34"/>
      <c r="D741" s="34"/>
      <c r="M741" s="10"/>
    </row>
    <row r="742" spans="1:13" ht="12.3">
      <c r="A742" s="34"/>
      <c r="B742" s="34"/>
      <c r="C742" s="34"/>
      <c r="D742" s="34"/>
      <c r="M742" s="10"/>
    </row>
    <row r="743" spans="1:13" ht="12.3">
      <c r="A743" s="34"/>
      <c r="B743" s="34"/>
      <c r="C743" s="34"/>
      <c r="D743" s="34"/>
      <c r="M743" s="10"/>
    </row>
    <row r="744" spans="1:13" ht="12.3">
      <c r="A744" s="34"/>
      <c r="B744" s="34"/>
      <c r="C744" s="34"/>
      <c r="D744" s="34"/>
      <c r="M744" s="10"/>
    </row>
    <row r="745" spans="1:13" ht="12.3">
      <c r="A745" s="34"/>
      <c r="B745" s="34"/>
      <c r="C745" s="34"/>
      <c r="D745" s="34"/>
      <c r="M745" s="10"/>
    </row>
    <row r="746" spans="1:13" ht="12.3">
      <c r="A746" s="34"/>
      <c r="B746" s="34"/>
      <c r="C746" s="34"/>
      <c r="D746" s="34"/>
      <c r="M746" s="10"/>
    </row>
    <row r="747" spans="1:13" ht="12.3">
      <c r="A747" s="34"/>
      <c r="B747" s="34"/>
      <c r="C747" s="34"/>
      <c r="D747" s="34"/>
      <c r="M747" s="10"/>
    </row>
    <row r="748" spans="1:13" ht="12.3">
      <c r="A748" s="34"/>
      <c r="B748" s="34"/>
      <c r="C748" s="34"/>
      <c r="D748" s="34"/>
      <c r="M748" s="10"/>
    </row>
    <row r="749" spans="1:13" ht="12.3">
      <c r="A749" s="34"/>
      <c r="B749" s="34"/>
      <c r="C749" s="34"/>
      <c r="D749" s="34"/>
      <c r="M749" s="10"/>
    </row>
    <row r="750" spans="1:13" ht="12.3">
      <c r="A750" s="34"/>
      <c r="B750" s="34"/>
      <c r="C750" s="34"/>
      <c r="D750" s="34"/>
      <c r="M750" s="10"/>
    </row>
    <row r="751" spans="1:13" ht="12.3">
      <c r="A751" s="34"/>
      <c r="B751" s="34"/>
      <c r="C751" s="34"/>
      <c r="D751" s="34"/>
      <c r="M751" s="10"/>
    </row>
    <row r="752" spans="1:13" ht="12.3">
      <c r="A752" s="34"/>
      <c r="B752" s="34"/>
      <c r="C752" s="34"/>
      <c r="D752" s="34"/>
      <c r="M752" s="10"/>
    </row>
    <row r="753" spans="1:13" ht="12.3">
      <c r="A753" s="34"/>
      <c r="B753" s="34"/>
      <c r="C753" s="34"/>
      <c r="D753" s="34"/>
      <c r="M753" s="10"/>
    </row>
    <row r="754" spans="1:13" ht="12.3">
      <c r="A754" s="34"/>
      <c r="B754" s="34"/>
      <c r="C754" s="34"/>
      <c r="D754" s="34"/>
      <c r="M754" s="10"/>
    </row>
    <row r="755" spans="1:13" ht="12.3">
      <c r="A755" s="34"/>
      <c r="B755" s="34"/>
      <c r="C755" s="34"/>
      <c r="D755" s="34"/>
      <c r="M755" s="10"/>
    </row>
    <row r="756" spans="1:13" ht="12.3">
      <c r="A756" s="34"/>
      <c r="B756" s="34"/>
      <c r="C756" s="34"/>
      <c r="D756" s="34"/>
      <c r="M756" s="10"/>
    </row>
    <row r="757" spans="1:13" ht="12.3">
      <c r="A757" s="34"/>
      <c r="B757" s="34"/>
      <c r="C757" s="34"/>
      <c r="D757" s="34"/>
      <c r="M757" s="10"/>
    </row>
    <row r="758" spans="1:13" ht="12.3">
      <c r="A758" s="34"/>
      <c r="B758" s="34"/>
      <c r="C758" s="34"/>
      <c r="D758" s="34"/>
      <c r="M758" s="10"/>
    </row>
    <row r="759" spans="1:13" ht="12.3">
      <c r="A759" s="34"/>
      <c r="B759" s="34"/>
      <c r="C759" s="34"/>
      <c r="D759" s="34"/>
      <c r="M759" s="10"/>
    </row>
    <row r="760" spans="1:13" ht="12.3">
      <c r="A760" s="34"/>
      <c r="B760" s="34"/>
      <c r="C760" s="34"/>
      <c r="D760" s="34"/>
      <c r="M760" s="10"/>
    </row>
    <row r="761" spans="1:13" ht="12.3">
      <c r="A761" s="34"/>
      <c r="B761" s="34"/>
      <c r="C761" s="34"/>
      <c r="D761" s="34"/>
      <c r="M761" s="10"/>
    </row>
    <row r="762" spans="1:13" ht="12.3">
      <c r="A762" s="34"/>
      <c r="B762" s="34"/>
      <c r="C762" s="34"/>
      <c r="D762" s="34"/>
      <c r="M762" s="10"/>
    </row>
    <row r="763" spans="1:13" ht="12.3">
      <c r="A763" s="34"/>
      <c r="B763" s="34"/>
      <c r="C763" s="34"/>
      <c r="D763" s="34"/>
      <c r="M763" s="10"/>
    </row>
    <row r="764" spans="1:13" ht="12.3">
      <c r="A764" s="34"/>
      <c r="B764" s="34"/>
      <c r="C764" s="34"/>
      <c r="D764" s="34"/>
      <c r="M764" s="10"/>
    </row>
    <row r="765" spans="1:13" ht="12.3">
      <c r="A765" s="34"/>
      <c r="B765" s="34"/>
      <c r="C765" s="34"/>
      <c r="D765" s="34"/>
      <c r="M765" s="10"/>
    </row>
    <row r="766" spans="1:13" ht="12.3">
      <c r="A766" s="34"/>
      <c r="B766" s="34"/>
      <c r="C766" s="34"/>
      <c r="D766" s="34"/>
      <c r="M766" s="10"/>
    </row>
    <row r="767" spans="1:13" ht="12.3">
      <c r="A767" s="34"/>
      <c r="B767" s="34"/>
      <c r="C767" s="34"/>
      <c r="D767" s="34"/>
      <c r="M767" s="10"/>
    </row>
    <row r="768" spans="1:13" ht="12.3">
      <c r="A768" s="34"/>
      <c r="B768" s="34"/>
      <c r="C768" s="34"/>
      <c r="D768" s="34"/>
      <c r="M768" s="10"/>
    </row>
    <row r="769" spans="1:13" ht="12.3">
      <c r="A769" s="34"/>
      <c r="B769" s="34"/>
      <c r="C769" s="34"/>
      <c r="D769" s="34"/>
      <c r="M769" s="10"/>
    </row>
    <row r="770" spans="1:13" ht="12.3">
      <c r="A770" s="34"/>
      <c r="B770" s="34"/>
      <c r="C770" s="34"/>
      <c r="D770" s="34"/>
      <c r="M770" s="10"/>
    </row>
    <row r="771" spans="1:13" ht="12.3">
      <c r="A771" s="34"/>
      <c r="B771" s="34"/>
      <c r="C771" s="34"/>
      <c r="D771" s="34"/>
      <c r="M771" s="10"/>
    </row>
    <row r="772" spans="1:13" ht="12.3">
      <c r="A772" s="34"/>
      <c r="B772" s="34"/>
      <c r="C772" s="34"/>
      <c r="D772" s="34"/>
      <c r="M772" s="10"/>
    </row>
    <row r="773" spans="1:13" ht="12.3">
      <c r="A773" s="34"/>
      <c r="B773" s="34"/>
      <c r="C773" s="34"/>
      <c r="D773" s="34"/>
      <c r="M773" s="10"/>
    </row>
    <row r="774" spans="1:13" ht="12.3">
      <c r="A774" s="34"/>
      <c r="B774" s="34"/>
      <c r="C774" s="34"/>
      <c r="D774" s="34"/>
      <c r="M774" s="10"/>
    </row>
    <row r="775" spans="1:13" ht="12.3">
      <c r="A775" s="34"/>
      <c r="B775" s="34"/>
      <c r="C775" s="34"/>
      <c r="D775" s="34"/>
      <c r="M775" s="10"/>
    </row>
    <row r="776" spans="1:13" ht="12.3">
      <c r="A776" s="34"/>
      <c r="B776" s="34"/>
      <c r="C776" s="34"/>
      <c r="D776" s="34"/>
      <c r="M776" s="10"/>
    </row>
    <row r="777" spans="1:13" ht="12.3">
      <c r="A777" s="34"/>
      <c r="B777" s="34"/>
      <c r="C777" s="34"/>
      <c r="D777" s="34"/>
      <c r="M777" s="10"/>
    </row>
    <row r="778" spans="1:13" ht="12.3">
      <c r="A778" s="34"/>
      <c r="B778" s="34"/>
      <c r="C778" s="34"/>
      <c r="D778" s="34"/>
      <c r="M778" s="10"/>
    </row>
    <row r="779" spans="1:13" ht="12.3">
      <c r="A779" s="34"/>
      <c r="B779" s="34"/>
      <c r="C779" s="34"/>
      <c r="D779" s="34"/>
      <c r="M779" s="10"/>
    </row>
    <row r="780" spans="1:13" ht="12.3">
      <c r="A780" s="34"/>
      <c r="B780" s="34"/>
      <c r="C780" s="34"/>
      <c r="D780" s="34"/>
      <c r="M780" s="10"/>
    </row>
    <row r="781" spans="1:13" ht="12.3">
      <c r="A781" s="34"/>
      <c r="B781" s="34"/>
      <c r="C781" s="34"/>
      <c r="D781" s="34"/>
      <c r="M781" s="10"/>
    </row>
    <row r="782" spans="1:13" ht="12.3">
      <c r="A782" s="34"/>
      <c r="B782" s="34"/>
      <c r="C782" s="34"/>
      <c r="D782" s="34"/>
      <c r="M782" s="10"/>
    </row>
    <row r="783" spans="1:13" ht="12.3">
      <c r="A783" s="34"/>
      <c r="B783" s="34"/>
      <c r="C783" s="34"/>
      <c r="D783" s="34"/>
      <c r="M783" s="10"/>
    </row>
    <row r="784" spans="1:13" ht="12.3">
      <c r="A784" s="34"/>
      <c r="B784" s="34"/>
      <c r="C784" s="34"/>
      <c r="D784" s="34"/>
      <c r="M784" s="10"/>
    </row>
    <row r="785" spans="1:13" ht="12.3">
      <c r="A785" s="34"/>
      <c r="B785" s="34"/>
      <c r="C785" s="34"/>
      <c r="D785" s="34"/>
      <c r="M785" s="10"/>
    </row>
    <row r="786" spans="1:13" ht="12.3">
      <c r="A786" s="34"/>
      <c r="B786" s="34"/>
      <c r="C786" s="34"/>
      <c r="D786" s="34"/>
      <c r="M786" s="10"/>
    </row>
    <row r="787" spans="1:13" ht="12.3">
      <c r="A787" s="34"/>
      <c r="B787" s="34"/>
      <c r="C787" s="34"/>
      <c r="D787" s="34"/>
      <c r="M787" s="10"/>
    </row>
    <row r="788" spans="1:13" ht="12.3">
      <c r="A788" s="34"/>
      <c r="B788" s="34"/>
      <c r="C788" s="34"/>
      <c r="D788" s="34"/>
      <c r="M788" s="10"/>
    </row>
    <row r="789" spans="1:13" ht="12.3">
      <c r="A789" s="34"/>
      <c r="B789" s="34"/>
      <c r="C789" s="34"/>
      <c r="D789" s="34"/>
      <c r="M789" s="10"/>
    </row>
    <row r="790" spans="1:13" ht="12.3">
      <c r="A790" s="34"/>
      <c r="B790" s="34"/>
      <c r="C790" s="34"/>
      <c r="D790" s="34"/>
      <c r="M790" s="10"/>
    </row>
    <row r="791" spans="1:13" ht="12.3">
      <c r="A791" s="34"/>
      <c r="B791" s="34"/>
      <c r="C791" s="34"/>
      <c r="D791" s="34"/>
      <c r="M791" s="10"/>
    </row>
    <row r="792" spans="1:13" ht="12.3">
      <c r="A792" s="34"/>
      <c r="B792" s="34"/>
      <c r="C792" s="34"/>
      <c r="D792" s="34"/>
      <c r="M792" s="10"/>
    </row>
    <row r="793" spans="1:13" ht="12.3">
      <c r="A793" s="34"/>
      <c r="B793" s="34"/>
      <c r="C793" s="34"/>
      <c r="D793" s="34"/>
      <c r="M793" s="10"/>
    </row>
    <row r="794" spans="1:13" ht="12.3">
      <c r="A794" s="34"/>
      <c r="B794" s="34"/>
      <c r="C794" s="34"/>
      <c r="D794" s="34"/>
      <c r="M794" s="10"/>
    </row>
    <row r="795" spans="1:13" ht="12.3">
      <c r="A795" s="34"/>
      <c r="B795" s="34"/>
      <c r="C795" s="34"/>
      <c r="D795" s="34"/>
      <c r="M795" s="10"/>
    </row>
    <row r="796" spans="1:13" ht="12.3">
      <c r="A796" s="34"/>
      <c r="B796" s="34"/>
      <c r="C796" s="34"/>
      <c r="D796" s="34"/>
      <c r="M796" s="10"/>
    </row>
    <row r="797" spans="1:13" ht="12.3">
      <c r="A797" s="34"/>
      <c r="B797" s="34"/>
      <c r="C797" s="34"/>
      <c r="D797" s="34"/>
      <c r="M797" s="10"/>
    </row>
    <row r="798" spans="1:13" ht="12.3">
      <c r="A798" s="34"/>
      <c r="B798" s="34"/>
      <c r="C798" s="34"/>
      <c r="D798" s="34"/>
      <c r="M798" s="10"/>
    </row>
    <row r="799" spans="1:13" ht="12.3">
      <c r="A799" s="34"/>
      <c r="B799" s="34"/>
      <c r="C799" s="34"/>
      <c r="D799" s="34"/>
      <c r="M799" s="10"/>
    </row>
    <row r="800" spans="1:13" ht="12.3">
      <c r="A800" s="34"/>
      <c r="B800" s="34"/>
      <c r="C800" s="34"/>
      <c r="D800" s="34"/>
      <c r="M800" s="10"/>
    </row>
    <row r="801" spans="1:13" ht="12.3">
      <c r="A801" s="34"/>
      <c r="B801" s="34"/>
      <c r="C801" s="34"/>
      <c r="D801" s="34"/>
      <c r="M801" s="10"/>
    </row>
    <row r="802" spans="1:13" ht="12.3">
      <c r="A802" s="34"/>
      <c r="B802" s="34"/>
      <c r="C802" s="34"/>
      <c r="D802" s="34"/>
      <c r="M802" s="10"/>
    </row>
    <row r="803" spans="1:13" ht="12.3">
      <c r="A803" s="34"/>
      <c r="B803" s="34"/>
      <c r="C803" s="34"/>
      <c r="D803" s="34"/>
      <c r="M803" s="10"/>
    </row>
    <row r="804" spans="1:13" ht="12.3">
      <c r="A804" s="34"/>
      <c r="B804" s="34"/>
      <c r="C804" s="34"/>
      <c r="D804" s="34"/>
      <c r="M804" s="10"/>
    </row>
    <row r="805" spans="1:13" ht="12.3">
      <c r="A805" s="34"/>
      <c r="B805" s="34"/>
      <c r="C805" s="34"/>
      <c r="D805" s="34"/>
      <c r="M805" s="10"/>
    </row>
    <row r="806" spans="1:13" ht="12.3">
      <c r="A806" s="34"/>
      <c r="B806" s="34"/>
      <c r="C806" s="34"/>
      <c r="D806" s="34"/>
      <c r="M806" s="10"/>
    </row>
    <row r="807" spans="1:13" ht="12.3">
      <c r="A807" s="34"/>
      <c r="B807" s="34"/>
      <c r="C807" s="34"/>
      <c r="D807" s="34"/>
      <c r="M807" s="10"/>
    </row>
    <row r="808" spans="1:13" ht="12.3">
      <c r="A808" s="34"/>
      <c r="B808" s="34"/>
      <c r="C808" s="34"/>
      <c r="D808" s="34"/>
      <c r="M808" s="10"/>
    </row>
    <row r="809" spans="1:13" ht="12.3">
      <c r="A809" s="34"/>
      <c r="B809" s="34"/>
      <c r="C809" s="34"/>
      <c r="D809" s="34"/>
      <c r="M809" s="10"/>
    </row>
    <row r="810" spans="1:13" ht="12.3">
      <c r="A810" s="34"/>
      <c r="B810" s="34"/>
      <c r="C810" s="34"/>
      <c r="D810" s="34"/>
      <c r="M810" s="10"/>
    </row>
    <row r="811" spans="1:13" ht="12.3">
      <c r="A811" s="34"/>
      <c r="B811" s="34"/>
      <c r="C811" s="34"/>
      <c r="D811" s="34"/>
      <c r="M811" s="10"/>
    </row>
    <row r="812" spans="1:13" ht="12.3">
      <c r="A812" s="34"/>
      <c r="B812" s="34"/>
      <c r="C812" s="34"/>
      <c r="D812" s="34"/>
      <c r="M812" s="10"/>
    </row>
    <row r="813" spans="1:13" ht="12.3">
      <c r="A813" s="34"/>
      <c r="B813" s="34"/>
      <c r="C813" s="34"/>
      <c r="D813" s="34"/>
      <c r="M813" s="10"/>
    </row>
    <row r="814" spans="1:13" ht="12.3">
      <c r="A814" s="34"/>
      <c r="B814" s="34"/>
      <c r="C814" s="34"/>
      <c r="D814" s="34"/>
      <c r="M814" s="10"/>
    </row>
    <row r="815" spans="1:13" ht="12.3">
      <c r="A815" s="34"/>
      <c r="B815" s="34"/>
      <c r="C815" s="34"/>
      <c r="D815" s="34"/>
      <c r="M815" s="10"/>
    </row>
    <row r="816" spans="1:13" ht="12.3">
      <c r="A816" s="34"/>
      <c r="B816" s="34"/>
      <c r="C816" s="34"/>
      <c r="D816" s="34"/>
      <c r="M816" s="10"/>
    </row>
    <row r="817" spans="1:13" ht="12.3">
      <c r="A817" s="34"/>
      <c r="B817" s="34"/>
      <c r="C817" s="34"/>
      <c r="D817" s="34"/>
      <c r="M817" s="10"/>
    </row>
    <row r="818" spans="1:13" ht="12.3">
      <c r="A818" s="34"/>
      <c r="B818" s="34"/>
      <c r="C818" s="34"/>
      <c r="D818" s="34"/>
      <c r="M818" s="10"/>
    </row>
    <row r="819" spans="1:13" ht="12.3">
      <c r="A819" s="34"/>
      <c r="B819" s="34"/>
      <c r="C819" s="34"/>
      <c r="D819" s="34"/>
      <c r="M819" s="10"/>
    </row>
    <row r="820" spans="1:13" ht="12.3">
      <c r="A820" s="34"/>
      <c r="B820" s="34"/>
      <c r="C820" s="34"/>
      <c r="D820" s="34"/>
      <c r="M820" s="10"/>
    </row>
    <row r="821" spans="1:13" ht="12.3">
      <c r="A821" s="34"/>
      <c r="B821" s="34"/>
      <c r="C821" s="34"/>
      <c r="D821" s="34"/>
      <c r="M821" s="10"/>
    </row>
    <row r="822" spans="1:13" ht="12.3">
      <c r="A822" s="34"/>
      <c r="B822" s="34"/>
      <c r="C822" s="34"/>
      <c r="D822" s="34"/>
      <c r="M822" s="10"/>
    </row>
    <row r="823" spans="1:13" ht="12.3">
      <c r="A823" s="34"/>
      <c r="B823" s="34"/>
      <c r="C823" s="34"/>
      <c r="D823" s="34"/>
      <c r="M823" s="10"/>
    </row>
    <row r="824" spans="1:13" ht="12.3">
      <c r="A824" s="34"/>
      <c r="B824" s="34"/>
      <c r="C824" s="34"/>
      <c r="D824" s="34"/>
      <c r="M824" s="10"/>
    </row>
    <row r="825" spans="1:13" ht="12.3">
      <c r="A825" s="34"/>
      <c r="B825" s="34"/>
      <c r="C825" s="34"/>
      <c r="D825" s="34"/>
      <c r="M825" s="10"/>
    </row>
    <row r="826" spans="1:13" ht="12.3">
      <c r="A826" s="34"/>
      <c r="B826" s="34"/>
      <c r="C826" s="34"/>
      <c r="D826" s="34"/>
      <c r="M826" s="10"/>
    </row>
    <row r="827" spans="1:13" ht="12.3">
      <c r="A827" s="34"/>
      <c r="B827" s="34"/>
      <c r="C827" s="34"/>
      <c r="D827" s="34"/>
      <c r="M827" s="10"/>
    </row>
    <row r="828" spans="1:13" ht="12.3">
      <c r="A828" s="34"/>
      <c r="B828" s="34"/>
      <c r="C828" s="34"/>
      <c r="D828" s="34"/>
      <c r="M828" s="10"/>
    </row>
    <row r="829" spans="1:13" ht="12.3">
      <c r="A829" s="34"/>
      <c r="B829" s="34"/>
      <c r="C829" s="34"/>
      <c r="D829" s="34"/>
      <c r="M829" s="10"/>
    </row>
    <row r="830" spans="1:13" ht="12.3">
      <c r="A830" s="34"/>
      <c r="B830" s="34"/>
      <c r="C830" s="34"/>
      <c r="D830" s="34"/>
      <c r="M830" s="10"/>
    </row>
    <row r="831" spans="1:13" ht="12.3">
      <c r="A831" s="34"/>
      <c r="B831" s="34"/>
      <c r="C831" s="34"/>
      <c r="D831" s="34"/>
      <c r="M831" s="10"/>
    </row>
    <row r="832" spans="1:13" ht="12.3">
      <c r="A832" s="34"/>
      <c r="B832" s="34"/>
      <c r="C832" s="34"/>
      <c r="D832" s="34"/>
      <c r="M832" s="10"/>
    </row>
    <row r="833" spans="1:13" ht="12.3">
      <c r="A833" s="34"/>
      <c r="B833" s="34"/>
      <c r="C833" s="34"/>
      <c r="D833" s="34"/>
      <c r="M833" s="10"/>
    </row>
    <row r="834" spans="1:13" ht="12.3">
      <c r="A834" s="34"/>
      <c r="B834" s="34"/>
      <c r="C834" s="34"/>
      <c r="D834" s="34"/>
      <c r="M834" s="10"/>
    </row>
    <row r="835" spans="1:13" ht="12.3">
      <c r="A835" s="34"/>
      <c r="B835" s="34"/>
      <c r="C835" s="34"/>
      <c r="D835" s="34"/>
      <c r="M835" s="10"/>
    </row>
    <row r="836" spans="1:13" ht="12.3">
      <c r="A836" s="34"/>
      <c r="B836" s="34"/>
      <c r="C836" s="34"/>
      <c r="D836" s="34"/>
      <c r="M836" s="10"/>
    </row>
    <row r="837" spans="1:13" ht="12.3">
      <c r="A837" s="34"/>
      <c r="B837" s="34"/>
      <c r="C837" s="34"/>
      <c r="D837" s="34"/>
      <c r="M837" s="10"/>
    </row>
    <row r="838" spans="1:13" ht="12.3">
      <c r="A838" s="34"/>
      <c r="B838" s="34"/>
      <c r="C838" s="34"/>
      <c r="D838" s="34"/>
      <c r="M838" s="10"/>
    </row>
    <row r="839" spans="1:13" ht="12.3">
      <c r="A839" s="34"/>
      <c r="B839" s="34"/>
      <c r="C839" s="34"/>
      <c r="D839" s="34"/>
      <c r="M839" s="10"/>
    </row>
    <row r="840" spans="1:13" ht="12.3">
      <c r="A840" s="34"/>
      <c r="B840" s="34"/>
      <c r="C840" s="34"/>
      <c r="D840" s="34"/>
      <c r="M840" s="10"/>
    </row>
    <row r="841" spans="1:13" ht="12.3">
      <c r="A841" s="34"/>
      <c r="B841" s="34"/>
      <c r="C841" s="34"/>
      <c r="D841" s="34"/>
      <c r="M841" s="10"/>
    </row>
    <row r="842" spans="1:13" ht="12.3">
      <c r="A842" s="34"/>
      <c r="B842" s="34"/>
      <c r="C842" s="34"/>
      <c r="D842" s="34"/>
      <c r="M842" s="10"/>
    </row>
    <row r="843" spans="1:13" ht="12.3">
      <c r="A843" s="34"/>
      <c r="B843" s="34"/>
      <c r="C843" s="34"/>
      <c r="D843" s="34"/>
      <c r="M843" s="10"/>
    </row>
    <row r="844" spans="1:13" ht="12.3">
      <c r="A844" s="34"/>
      <c r="B844" s="34"/>
      <c r="C844" s="34"/>
      <c r="D844" s="34"/>
      <c r="M844" s="10"/>
    </row>
    <row r="845" spans="1:13" ht="12.3">
      <c r="A845" s="34"/>
      <c r="B845" s="34"/>
      <c r="C845" s="34"/>
      <c r="D845" s="34"/>
      <c r="M845" s="10"/>
    </row>
    <row r="846" spans="1:13" ht="12.3">
      <c r="A846" s="34"/>
      <c r="B846" s="34"/>
      <c r="C846" s="34"/>
      <c r="D846" s="34"/>
      <c r="M846" s="10"/>
    </row>
    <row r="847" spans="1:13" ht="12.3">
      <c r="A847" s="34"/>
      <c r="B847" s="34"/>
      <c r="C847" s="34"/>
      <c r="D847" s="34"/>
      <c r="M847" s="10"/>
    </row>
    <row r="848" spans="1:13" ht="12.3">
      <c r="A848" s="34"/>
      <c r="B848" s="34"/>
      <c r="C848" s="34"/>
      <c r="D848" s="34"/>
      <c r="M848" s="10"/>
    </row>
    <row r="849" spans="1:13" ht="12.3">
      <c r="A849" s="34"/>
      <c r="B849" s="34"/>
      <c r="C849" s="34"/>
      <c r="D849" s="34"/>
      <c r="M849" s="10"/>
    </row>
    <row r="850" spans="1:13" ht="12.3">
      <c r="A850" s="34"/>
      <c r="B850" s="34"/>
      <c r="C850" s="34"/>
      <c r="D850" s="34"/>
      <c r="M850" s="10"/>
    </row>
    <row r="851" spans="1:13" ht="12.3">
      <c r="A851" s="34"/>
      <c r="B851" s="34"/>
      <c r="C851" s="34"/>
      <c r="D851" s="34"/>
      <c r="M851" s="10"/>
    </row>
    <row r="852" spans="1:13" ht="12.3">
      <c r="A852" s="34"/>
      <c r="B852" s="34"/>
      <c r="C852" s="34"/>
      <c r="D852" s="34"/>
      <c r="M852" s="10"/>
    </row>
    <row r="853" spans="1:13" ht="12.3">
      <c r="A853" s="34"/>
      <c r="B853" s="34"/>
      <c r="C853" s="34"/>
      <c r="D853" s="34"/>
      <c r="M853" s="10"/>
    </row>
    <row r="854" spans="1:13" ht="12.3">
      <c r="A854" s="34"/>
      <c r="B854" s="34"/>
      <c r="C854" s="34"/>
      <c r="D854" s="34"/>
      <c r="M854" s="10"/>
    </row>
    <row r="855" spans="1:13" ht="12.3">
      <c r="A855" s="34"/>
      <c r="B855" s="34"/>
      <c r="C855" s="34"/>
      <c r="D855" s="34"/>
      <c r="M855" s="10"/>
    </row>
    <row r="856" spans="1:13" ht="12.3">
      <c r="A856" s="34"/>
      <c r="B856" s="34"/>
      <c r="C856" s="34"/>
      <c r="D856" s="34"/>
      <c r="M856" s="10"/>
    </row>
    <row r="857" spans="1:13" ht="12.3">
      <c r="A857" s="34"/>
      <c r="B857" s="34"/>
      <c r="C857" s="34"/>
      <c r="D857" s="34"/>
      <c r="M857" s="10"/>
    </row>
    <row r="858" spans="1:13" ht="12.3">
      <c r="A858" s="34"/>
      <c r="B858" s="34"/>
      <c r="C858" s="34"/>
      <c r="D858" s="34"/>
      <c r="M858" s="10"/>
    </row>
    <row r="859" spans="1:13" ht="12.3">
      <c r="A859" s="34"/>
      <c r="B859" s="34"/>
      <c r="C859" s="34"/>
      <c r="D859" s="34"/>
      <c r="M859" s="10"/>
    </row>
    <row r="860" spans="1:13" ht="12.3">
      <c r="A860" s="34"/>
      <c r="B860" s="34"/>
      <c r="C860" s="34"/>
      <c r="D860" s="34"/>
      <c r="M860" s="10"/>
    </row>
    <row r="861" spans="1:13" ht="12.3">
      <c r="A861" s="34"/>
      <c r="B861" s="34"/>
      <c r="C861" s="34"/>
      <c r="D861" s="34"/>
      <c r="M861" s="10"/>
    </row>
    <row r="862" spans="1:13" ht="12.3">
      <c r="A862" s="34"/>
      <c r="B862" s="34"/>
      <c r="C862" s="34"/>
      <c r="D862" s="34"/>
      <c r="M862" s="10"/>
    </row>
    <row r="863" spans="1:13" ht="12.3">
      <c r="A863" s="34"/>
      <c r="B863" s="34"/>
      <c r="C863" s="34"/>
      <c r="D863" s="34"/>
      <c r="M863" s="10"/>
    </row>
    <row r="864" spans="1:13" ht="12.3">
      <c r="A864" s="34"/>
      <c r="B864" s="34"/>
      <c r="C864" s="34"/>
      <c r="D864" s="34"/>
      <c r="M864" s="10"/>
    </row>
    <row r="865" spans="1:13" ht="12.3">
      <c r="A865" s="34"/>
      <c r="B865" s="34"/>
      <c r="C865" s="34"/>
      <c r="D865" s="34"/>
      <c r="M865" s="10"/>
    </row>
    <row r="866" spans="1:13" ht="12.3">
      <c r="A866" s="34"/>
      <c r="B866" s="34"/>
      <c r="C866" s="34"/>
      <c r="D866" s="34"/>
      <c r="M866" s="10"/>
    </row>
    <row r="867" spans="1:13" ht="12.3">
      <c r="A867" s="34"/>
      <c r="B867" s="34"/>
      <c r="C867" s="34"/>
      <c r="D867" s="34"/>
      <c r="M867" s="10"/>
    </row>
    <row r="868" spans="1:13" ht="12.3">
      <c r="A868" s="34"/>
      <c r="B868" s="34"/>
      <c r="C868" s="34"/>
      <c r="D868" s="34"/>
      <c r="M868" s="10"/>
    </row>
    <row r="869" spans="1:13" ht="12.3">
      <c r="A869" s="34"/>
      <c r="B869" s="34"/>
      <c r="C869" s="34"/>
      <c r="D869" s="34"/>
      <c r="M869" s="10"/>
    </row>
    <row r="870" spans="1:13" ht="12.3">
      <c r="A870" s="34"/>
      <c r="B870" s="34"/>
      <c r="C870" s="34"/>
      <c r="D870" s="34"/>
      <c r="M870" s="10"/>
    </row>
    <row r="871" spans="1:13" ht="12.3">
      <c r="A871" s="34"/>
      <c r="B871" s="34"/>
      <c r="C871" s="34"/>
      <c r="D871" s="34"/>
      <c r="M871" s="10"/>
    </row>
    <row r="872" spans="1:13" ht="12.3">
      <c r="A872" s="34"/>
      <c r="B872" s="34"/>
      <c r="C872" s="34"/>
      <c r="D872" s="34"/>
      <c r="M872" s="10"/>
    </row>
    <row r="873" spans="1:13" ht="12.3">
      <c r="A873" s="34"/>
      <c r="B873" s="34"/>
      <c r="C873" s="34"/>
      <c r="D873" s="34"/>
      <c r="M873" s="10"/>
    </row>
    <row r="874" spans="1:13" ht="12.3">
      <c r="A874" s="34"/>
      <c r="B874" s="34"/>
      <c r="C874" s="34"/>
      <c r="D874" s="34"/>
      <c r="M874" s="10"/>
    </row>
    <row r="875" spans="1:13" ht="12.3">
      <c r="A875" s="34"/>
      <c r="B875" s="34"/>
      <c r="C875" s="34"/>
      <c r="D875" s="34"/>
      <c r="M875" s="10"/>
    </row>
    <row r="876" spans="1:13" ht="12.3">
      <c r="A876" s="34"/>
      <c r="B876" s="34"/>
      <c r="C876" s="34"/>
      <c r="D876" s="34"/>
      <c r="M876" s="10"/>
    </row>
    <row r="877" spans="1:13" ht="12.3">
      <c r="A877" s="34"/>
      <c r="B877" s="34"/>
      <c r="C877" s="34"/>
      <c r="D877" s="34"/>
      <c r="M877" s="10"/>
    </row>
    <row r="878" spans="1:13" ht="12.3">
      <c r="A878" s="34"/>
      <c r="B878" s="34"/>
      <c r="C878" s="34"/>
      <c r="D878" s="34"/>
      <c r="M878" s="10"/>
    </row>
    <row r="879" spans="1:13" ht="12.3">
      <c r="A879" s="34"/>
      <c r="B879" s="34"/>
      <c r="C879" s="34"/>
      <c r="D879" s="34"/>
      <c r="M879" s="10"/>
    </row>
    <row r="880" spans="1:13" ht="12.3">
      <c r="A880" s="34"/>
      <c r="B880" s="34"/>
      <c r="C880" s="34"/>
      <c r="D880" s="34"/>
      <c r="M880" s="10"/>
    </row>
    <row r="881" spans="1:13" ht="12.3">
      <c r="A881" s="34"/>
      <c r="B881" s="34"/>
      <c r="C881" s="34"/>
      <c r="D881" s="34"/>
      <c r="M881" s="10"/>
    </row>
    <row r="882" spans="1:13" ht="12.3">
      <c r="A882" s="34"/>
      <c r="B882" s="34"/>
      <c r="C882" s="34"/>
      <c r="D882" s="34"/>
      <c r="M882" s="10"/>
    </row>
    <row r="883" spans="1:13" ht="12.3">
      <c r="A883" s="34"/>
      <c r="B883" s="34"/>
      <c r="C883" s="34"/>
      <c r="D883" s="34"/>
      <c r="M883" s="10"/>
    </row>
    <row r="884" spans="1:13" ht="12.3">
      <c r="A884" s="34"/>
      <c r="B884" s="34"/>
      <c r="C884" s="34"/>
      <c r="D884" s="34"/>
      <c r="M884" s="10"/>
    </row>
    <row r="885" spans="1:13" ht="12.3">
      <c r="A885" s="34"/>
      <c r="B885" s="34"/>
      <c r="C885" s="34"/>
      <c r="D885" s="34"/>
      <c r="M885" s="10"/>
    </row>
    <row r="886" spans="1:13" ht="12.3">
      <c r="A886" s="34"/>
      <c r="B886" s="34"/>
      <c r="C886" s="34"/>
      <c r="D886" s="34"/>
      <c r="M886" s="10"/>
    </row>
    <row r="887" spans="1:13" ht="12.3">
      <c r="A887" s="34"/>
      <c r="B887" s="34"/>
      <c r="C887" s="34"/>
      <c r="D887" s="34"/>
      <c r="M887" s="10"/>
    </row>
    <row r="888" spans="1:13" ht="12.3">
      <c r="A888" s="34"/>
      <c r="B888" s="34"/>
      <c r="C888" s="34"/>
      <c r="D888" s="34"/>
      <c r="M888" s="10"/>
    </row>
    <row r="889" spans="1:13" ht="12.3">
      <c r="A889" s="34"/>
      <c r="B889" s="34"/>
      <c r="C889" s="34"/>
      <c r="D889" s="34"/>
      <c r="M889" s="10"/>
    </row>
    <row r="890" spans="1:13" ht="12.3">
      <c r="A890" s="34"/>
      <c r="B890" s="34"/>
      <c r="C890" s="34"/>
      <c r="D890" s="34"/>
      <c r="M890" s="10"/>
    </row>
    <row r="891" spans="1:13" ht="12.3">
      <c r="A891" s="34"/>
      <c r="B891" s="34"/>
      <c r="C891" s="34"/>
      <c r="D891" s="34"/>
      <c r="M891" s="10"/>
    </row>
    <row r="892" spans="1:13" ht="12.3">
      <c r="A892" s="34"/>
      <c r="B892" s="34"/>
      <c r="C892" s="34"/>
      <c r="D892" s="34"/>
      <c r="M892" s="10"/>
    </row>
    <row r="893" spans="1:13" ht="12.3">
      <c r="A893" s="34"/>
      <c r="B893" s="34"/>
      <c r="C893" s="34"/>
      <c r="D893" s="34"/>
      <c r="M893" s="10"/>
    </row>
    <row r="894" spans="1:13" ht="12.3">
      <c r="A894" s="34"/>
      <c r="B894" s="34"/>
      <c r="C894" s="34"/>
      <c r="D894" s="34"/>
      <c r="M894" s="10"/>
    </row>
    <row r="895" spans="1:13" ht="12.3">
      <c r="A895" s="34"/>
      <c r="B895" s="34"/>
      <c r="C895" s="34"/>
      <c r="D895" s="34"/>
      <c r="M895" s="10"/>
    </row>
    <row r="896" spans="1:13" ht="12.3">
      <c r="A896" s="34"/>
      <c r="B896" s="34"/>
      <c r="C896" s="34"/>
      <c r="D896" s="34"/>
      <c r="M896" s="10"/>
    </row>
    <row r="897" spans="1:13" ht="12.3">
      <c r="A897" s="34"/>
      <c r="B897" s="34"/>
      <c r="C897" s="34"/>
      <c r="D897" s="34"/>
      <c r="M897" s="10"/>
    </row>
    <row r="898" spans="1:13" ht="12.3">
      <c r="A898" s="34"/>
      <c r="B898" s="34"/>
      <c r="C898" s="34"/>
      <c r="D898" s="34"/>
      <c r="M898" s="10"/>
    </row>
    <row r="899" spans="1:13" ht="12.3">
      <c r="A899" s="34"/>
      <c r="B899" s="34"/>
      <c r="C899" s="34"/>
      <c r="D899" s="34"/>
      <c r="M899" s="10"/>
    </row>
    <row r="900" spans="1:13" ht="12.3">
      <c r="A900" s="34"/>
      <c r="B900" s="34"/>
      <c r="C900" s="34"/>
      <c r="D900" s="34"/>
      <c r="M900" s="10"/>
    </row>
    <row r="901" spans="1:13" ht="12.3">
      <c r="A901" s="34"/>
      <c r="B901" s="34"/>
      <c r="C901" s="34"/>
      <c r="D901" s="34"/>
      <c r="M901" s="10"/>
    </row>
    <row r="902" spans="1:13" ht="12.3">
      <c r="A902" s="34"/>
      <c r="B902" s="34"/>
      <c r="C902" s="34"/>
      <c r="D902" s="34"/>
      <c r="M902" s="10"/>
    </row>
    <row r="903" spans="1:13" ht="12.3">
      <c r="A903" s="34"/>
      <c r="B903" s="34"/>
      <c r="C903" s="34"/>
      <c r="D903" s="34"/>
      <c r="M903" s="10"/>
    </row>
    <row r="904" spans="1:13" ht="12.3">
      <c r="A904" s="34"/>
      <c r="B904" s="34"/>
      <c r="C904" s="34"/>
      <c r="D904" s="34"/>
      <c r="M904" s="10"/>
    </row>
    <row r="905" spans="1:13" ht="12.3">
      <c r="A905" s="34"/>
      <c r="B905" s="34"/>
      <c r="C905" s="34"/>
      <c r="D905" s="34"/>
      <c r="M905" s="10"/>
    </row>
    <row r="906" spans="1:13" ht="12.3">
      <c r="A906" s="34"/>
      <c r="B906" s="34"/>
      <c r="C906" s="34"/>
      <c r="D906" s="34"/>
      <c r="M906" s="10"/>
    </row>
    <row r="907" spans="1:13" ht="12.3">
      <c r="A907" s="34"/>
      <c r="B907" s="34"/>
      <c r="C907" s="34"/>
      <c r="D907" s="34"/>
      <c r="M907" s="10"/>
    </row>
    <row r="908" spans="1:13" ht="12.3">
      <c r="A908" s="34"/>
      <c r="B908" s="34"/>
      <c r="C908" s="34"/>
      <c r="D908" s="34"/>
      <c r="M908" s="10"/>
    </row>
    <row r="909" spans="1:13" ht="12.3">
      <c r="A909" s="34"/>
      <c r="B909" s="34"/>
      <c r="C909" s="34"/>
      <c r="D909" s="34"/>
      <c r="M909" s="10"/>
    </row>
    <row r="910" spans="1:13" ht="12.3">
      <c r="A910" s="34"/>
      <c r="B910" s="34"/>
      <c r="C910" s="34"/>
      <c r="D910" s="34"/>
      <c r="M910" s="10"/>
    </row>
    <row r="911" spans="1:13" ht="12.3">
      <c r="A911" s="34"/>
      <c r="B911" s="34"/>
      <c r="C911" s="34"/>
      <c r="D911" s="34"/>
      <c r="M911" s="10"/>
    </row>
    <row r="912" spans="1:13" ht="12.3">
      <c r="A912" s="34"/>
      <c r="B912" s="34"/>
      <c r="C912" s="34"/>
      <c r="D912" s="34"/>
      <c r="M912" s="10"/>
    </row>
    <row r="913" spans="1:13" ht="12.3">
      <c r="A913" s="34"/>
      <c r="B913" s="34"/>
      <c r="C913" s="34"/>
      <c r="D913" s="34"/>
      <c r="M913" s="10"/>
    </row>
    <row r="914" spans="1:13" ht="12.3">
      <c r="A914" s="34"/>
      <c r="B914" s="34"/>
      <c r="C914" s="34"/>
      <c r="D914" s="34"/>
      <c r="M914" s="10"/>
    </row>
    <row r="915" spans="1:13" ht="12.3">
      <c r="A915" s="34"/>
      <c r="B915" s="34"/>
      <c r="C915" s="34"/>
      <c r="D915" s="34"/>
      <c r="M915" s="10"/>
    </row>
    <row r="916" spans="1:13" ht="12.3">
      <c r="A916" s="34"/>
      <c r="B916" s="34"/>
      <c r="C916" s="34"/>
      <c r="D916" s="34"/>
      <c r="M916" s="10"/>
    </row>
    <row r="917" spans="1:13" ht="12.3">
      <c r="A917" s="34"/>
      <c r="B917" s="34"/>
      <c r="C917" s="34"/>
      <c r="D917" s="34"/>
      <c r="M917" s="10"/>
    </row>
    <row r="918" spans="1:13" ht="12.3">
      <c r="A918" s="34"/>
      <c r="B918" s="34"/>
      <c r="C918" s="34"/>
      <c r="D918" s="34"/>
      <c r="M918" s="10"/>
    </row>
    <row r="919" spans="1:13" ht="12.3">
      <c r="A919" s="34"/>
      <c r="B919" s="34"/>
      <c r="C919" s="34"/>
      <c r="D919" s="34"/>
      <c r="M919" s="10"/>
    </row>
    <row r="920" spans="1:13" ht="12.3">
      <c r="A920" s="34"/>
      <c r="B920" s="34"/>
      <c r="C920" s="34"/>
      <c r="D920" s="34"/>
      <c r="M920" s="10"/>
    </row>
    <row r="921" spans="1:13" ht="12.3">
      <c r="A921" s="34"/>
      <c r="B921" s="34"/>
      <c r="C921" s="34"/>
      <c r="D921" s="34"/>
      <c r="M921" s="10"/>
    </row>
    <row r="922" spans="1:13" ht="12.3">
      <c r="A922" s="34"/>
      <c r="B922" s="34"/>
      <c r="C922" s="34"/>
      <c r="D922" s="34"/>
      <c r="M922" s="10"/>
    </row>
    <row r="923" spans="1:13" ht="12.3">
      <c r="A923" s="34"/>
      <c r="B923" s="34"/>
      <c r="C923" s="34"/>
      <c r="D923" s="34"/>
      <c r="M923" s="10"/>
    </row>
    <row r="924" spans="1:13" ht="12.3">
      <c r="A924" s="34"/>
      <c r="B924" s="34"/>
      <c r="C924" s="34"/>
      <c r="D924" s="34"/>
      <c r="M924" s="10"/>
    </row>
    <row r="925" spans="1:13" ht="12.3">
      <c r="A925" s="34"/>
      <c r="B925" s="34"/>
      <c r="C925" s="34"/>
      <c r="D925" s="34"/>
      <c r="M925" s="10"/>
    </row>
    <row r="926" spans="1:13" ht="12.3">
      <c r="A926" s="34"/>
      <c r="B926" s="34"/>
      <c r="C926" s="34"/>
      <c r="D926" s="34"/>
      <c r="M926" s="10"/>
    </row>
    <row r="927" spans="1:13" ht="12.3">
      <c r="A927" s="34"/>
      <c r="B927" s="34"/>
      <c r="C927" s="34"/>
      <c r="D927" s="34"/>
      <c r="M927" s="10"/>
    </row>
    <row r="928" spans="1:13" ht="12.3">
      <c r="A928" s="34"/>
      <c r="B928" s="34"/>
      <c r="C928" s="34"/>
      <c r="D928" s="34"/>
      <c r="M928" s="10"/>
    </row>
    <row r="929" spans="1:13" ht="12.3">
      <c r="A929" s="34"/>
      <c r="B929" s="34"/>
      <c r="C929" s="34"/>
      <c r="D929" s="34"/>
      <c r="M929" s="10"/>
    </row>
    <row r="930" spans="1:13" ht="12.3">
      <c r="A930" s="34"/>
      <c r="B930" s="34"/>
      <c r="C930" s="34"/>
      <c r="D930" s="34"/>
      <c r="M930" s="10"/>
    </row>
    <row r="931" spans="1:13" ht="12.3">
      <c r="A931" s="34"/>
      <c r="B931" s="34"/>
      <c r="C931" s="34"/>
      <c r="D931" s="34"/>
      <c r="M931" s="10"/>
    </row>
    <row r="932" spans="1:13" ht="12.3">
      <c r="A932" s="34"/>
      <c r="B932" s="34"/>
      <c r="C932" s="34"/>
      <c r="D932" s="34"/>
      <c r="M932" s="10"/>
    </row>
    <row r="933" spans="1:13" ht="12.3">
      <c r="A933" s="34"/>
      <c r="B933" s="34"/>
      <c r="C933" s="34"/>
      <c r="D933" s="34"/>
      <c r="M933" s="10"/>
    </row>
    <row r="934" spans="1:13" ht="12.3">
      <c r="A934" s="34"/>
      <c r="B934" s="34"/>
      <c r="C934" s="34"/>
      <c r="D934" s="34"/>
      <c r="M934" s="10"/>
    </row>
    <row r="935" spans="1:13" ht="12.3">
      <c r="A935" s="34"/>
      <c r="B935" s="34"/>
      <c r="C935" s="34"/>
      <c r="D935" s="34"/>
      <c r="M935" s="10"/>
    </row>
    <row r="936" spans="1:13" ht="12.3">
      <c r="A936" s="34"/>
      <c r="B936" s="34"/>
      <c r="C936" s="34"/>
      <c r="D936" s="34"/>
      <c r="M936" s="10"/>
    </row>
    <row r="937" spans="1:13" ht="12.3">
      <c r="A937" s="34"/>
      <c r="B937" s="34"/>
      <c r="C937" s="34"/>
      <c r="D937" s="34"/>
      <c r="M937" s="10"/>
    </row>
    <row r="938" spans="1:13" ht="12.3">
      <c r="A938" s="34"/>
      <c r="B938" s="34"/>
      <c r="C938" s="34"/>
      <c r="D938" s="34"/>
      <c r="M938" s="10"/>
    </row>
    <row r="939" spans="1:13" ht="12.3">
      <c r="A939" s="34"/>
      <c r="B939" s="34"/>
      <c r="C939" s="34"/>
      <c r="D939" s="34"/>
      <c r="M939" s="10"/>
    </row>
    <row r="940" spans="1:13" ht="12.3">
      <c r="A940" s="34"/>
      <c r="B940" s="34"/>
      <c r="C940" s="34"/>
      <c r="D940" s="34"/>
      <c r="M940" s="10"/>
    </row>
    <row r="941" spans="1:13" ht="12.3">
      <c r="A941" s="34"/>
      <c r="B941" s="34"/>
      <c r="C941" s="34"/>
      <c r="D941" s="34"/>
      <c r="M941" s="10"/>
    </row>
    <row r="942" spans="1:13" ht="12.3">
      <c r="A942" s="34"/>
      <c r="B942" s="34"/>
      <c r="C942" s="34"/>
      <c r="D942" s="34"/>
      <c r="M942" s="10"/>
    </row>
    <row r="943" spans="1:13" ht="12.3">
      <c r="A943" s="34"/>
      <c r="B943" s="34"/>
      <c r="C943" s="34"/>
      <c r="D943" s="34"/>
      <c r="M943" s="10"/>
    </row>
    <row r="944" spans="1:13" ht="12.3">
      <c r="A944" s="34"/>
      <c r="B944" s="34"/>
      <c r="C944" s="34"/>
      <c r="D944" s="34"/>
      <c r="M944" s="10"/>
    </row>
    <row r="945" spans="1:13" ht="12.3">
      <c r="A945" s="34"/>
      <c r="B945" s="34"/>
      <c r="C945" s="34"/>
      <c r="D945" s="34"/>
      <c r="M945" s="10"/>
    </row>
    <row r="946" spans="1:13" ht="12.3">
      <c r="A946" s="34"/>
      <c r="B946" s="34"/>
      <c r="C946" s="34"/>
      <c r="D946" s="34"/>
      <c r="M946" s="10"/>
    </row>
    <row r="947" spans="1:13" ht="12.3">
      <c r="A947" s="34"/>
      <c r="B947" s="34"/>
      <c r="C947" s="34"/>
      <c r="D947" s="34"/>
      <c r="M947" s="10"/>
    </row>
    <row r="948" spans="1:13" ht="12.3">
      <c r="A948" s="34"/>
      <c r="B948" s="34"/>
      <c r="C948" s="34"/>
      <c r="D948" s="34"/>
      <c r="M948" s="10"/>
    </row>
    <row r="949" spans="1:13" ht="12.3">
      <c r="A949" s="34"/>
      <c r="B949" s="34"/>
      <c r="C949" s="34"/>
      <c r="D949" s="34"/>
      <c r="M949" s="10"/>
    </row>
    <row r="950" spans="1:13" ht="12.3">
      <c r="A950" s="34"/>
      <c r="B950" s="34"/>
      <c r="C950" s="34"/>
      <c r="D950" s="34"/>
      <c r="M950" s="10"/>
    </row>
    <row r="951" spans="1:13" ht="12.3">
      <c r="A951" s="34"/>
      <c r="B951" s="34"/>
      <c r="C951" s="34"/>
      <c r="D951" s="34"/>
      <c r="M951" s="10"/>
    </row>
    <row r="952" spans="1:13" ht="12.3">
      <c r="A952" s="34"/>
      <c r="B952" s="34"/>
      <c r="C952" s="34"/>
      <c r="D952" s="34"/>
      <c r="M952" s="10"/>
    </row>
    <row r="953" spans="1:13" ht="12.3">
      <c r="A953" s="34"/>
      <c r="B953" s="34"/>
      <c r="C953" s="34"/>
      <c r="D953" s="34"/>
      <c r="M953" s="10"/>
    </row>
    <row r="954" spans="1:13" ht="12.3">
      <c r="A954" s="34"/>
      <c r="B954" s="34"/>
      <c r="C954" s="34"/>
      <c r="D954" s="34"/>
      <c r="M954" s="10"/>
    </row>
    <row r="955" spans="1:13" ht="12.3">
      <c r="A955" s="34"/>
      <c r="B955" s="34"/>
      <c r="C955" s="34"/>
      <c r="D955" s="34"/>
      <c r="M955" s="10"/>
    </row>
    <row r="956" spans="1:13" ht="12.3">
      <c r="A956" s="34"/>
      <c r="B956" s="34"/>
      <c r="C956" s="34"/>
      <c r="D956" s="34"/>
      <c r="M956" s="10"/>
    </row>
    <row r="957" spans="1:13" ht="12.3">
      <c r="A957" s="34"/>
      <c r="B957" s="34"/>
      <c r="C957" s="34"/>
      <c r="D957" s="34"/>
      <c r="M957" s="10"/>
    </row>
    <row r="958" spans="1:13" ht="12.3">
      <c r="A958" s="34"/>
      <c r="B958" s="34"/>
      <c r="C958" s="34"/>
      <c r="D958" s="34"/>
      <c r="M958" s="10"/>
    </row>
    <row r="959" spans="1:13" ht="12.3">
      <c r="A959" s="34"/>
      <c r="B959" s="34"/>
      <c r="C959" s="34"/>
      <c r="D959" s="34"/>
      <c r="M959" s="10"/>
    </row>
    <row r="960" spans="1:13" ht="12.3">
      <c r="A960" s="34"/>
      <c r="B960" s="34"/>
      <c r="C960" s="34"/>
      <c r="D960" s="34"/>
      <c r="M960" s="10"/>
    </row>
    <row r="961" spans="1:13" ht="12.3">
      <c r="A961" s="34"/>
      <c r="B961" s="34"/>
      <c r="C961" s="34"/>
      <c r="D961" s="34"/>
      <c r="M961" s="10"/>
    </row>
    <row r="962" spans="1:13" ht="12.3">
      <c r="A962" s="34"/>
      <c r="B962" s="34"/>
      <c r="C962" s="34"/>
      <c r="D962" s="34"/>
      <c r="M962" s="10"/>
    </row>
    <row r="963" spans="1:13" ht="12.3">
      <c r="A963" s="34"/>
      <c r="B963" s="34"/>
      <c r="C963" s="34"/>
      <c r="D963" s="34"/>
      <c r="M963" s="10"/>
    </row>
    <row r="964" spans="1:13" ht="12.3">
      <c r="A964" s="34"/>
      <c r="B964" s="34"/>
      <c r="C964" s="34"/>
      <c r="D964" s="34"/>
      <c r="M964" s="10"/>
    </row>
    <row r="965" spans="1:13" ht="12.3">
      <c r="A965" s="34"/>
      <c r="B965" s="34"/>
      <c r="C965" s="34"/>
      <c r="D965" s="34"/>
      <c r="M965" s="10"/>
    </row>
    <row r="966" spans="1:13" ht="12.3">
      <c r="A966" s="34"/>
      <c r="B966" s="34"/>
      <c r="C966" s="34"/>
      <c r="D966" s="34"/>
      <c r="M966" s="10"/>
    </row>
    <row r="967" spans="1:13" ht="12.3">
      <c r="A967" s="34"/>
      <c r="B967" s="34"/>
      <c r="C967" s="34"/>
      <c r="D967" s="34"/>
      <c r="M967" s="10"/>
    </row>
    <row r="968" spans="1:13" ht="12.3">
      <c r="A968" s="34"/>
      <c r="B968" s="34"/>
      <c r="C968" s="34"/>
      <c r="D968" s="34"/>
      <c r="M968" s="10"/>
    </row>
    <row r="969" spans="1:13" ht="12.3">
      <c r="A969" s="34"/>
      <c r="B969" s="34"/>
      <c r="C969" s="34"/>
      <c r="D969" s="34"/>
      <c r="M969" s="10"/>
    </row>
    <row r="970" spans="1:13" ht="12.3">
      <c r="A970" s="34"/>
      <c r="B970" s="34"/>
      <c r="C970" s="34"/>
      <c r="D970" s="34"/>
      <c r="M970" s="10"/>
    </row>
    <row r="971" spans="1:13" ht="12.3">
      <c r="A971" s="34"/>
      <c r="B971" s="34"/>
      <c r="C971" s="34"/>
      <c r="D971" s="34"/>
      <c r="M971" s="10"/>
    </row>
    <row r="972" spans="1:13" ht="12.3">
      <c r="A972" s="34"/>
      <c r="B972" s="34"/>
      <c r="C972" s="34"/>
      <c r="D972" s="34"/>
      <c r="M972" s="10"/>
    </row>
    <row r="973" spans="1:13" ht="12.3">
      <c r="A973" s="34"/>
      <c r="B973" s="34"/>
      <c r="C973" s="34"/>
      <c r="D973" s="34"/>
      <c r="M973" s="10"/>
    </row>
    <row r="974" spans="1:13" ht="12.3">
      <c r="A974" s="34"/>
      <c r="B974" s="34"/>
      <c r="C974" s="34"/>
      <c r="D974" s="34"/>
      <c r="M974" s="10"/>
    </row>
    <row r="975" spans="1:13" ht="12.3">
      <c r="A975" s="34"/>
      <c r="B975" s="34"/>
      <c r="C975" s="34"/>
      <c r="D975" s="34"/>
      <c r="M975" s="10"/>
    </row>
    <row r="976" spans="1:13" ht="12.3">
      <c r="A976" s="34"/>
      <c r="B976" s="34"/>
      <c r="C976" s="34"/>
      <c r="D976" s="34"/>
      <c r="M976" s="10"/>
    </row>
    <row r="977" spans="1:13" ht="12.3">
      <c r="A977" s="34"/>
      <c r="B977" s="34"/>
      <c r="C977" s="34"/>
      <c r="D977" s="34"/>
      <c r="M977" s="10"/>
    </row>
    <row r="978" spans="1:13" ht="12.3">
      <c r="A978" s="34"/>
      <c r="B978" s="34"/>
      <c r="C978" s="34"/>
      <c r="D978" s="34"/>
      <c r="M978" s="10"/>
    </row>
    <row r="979" spans="1:13" ht="12.3">
      <c r="A979" s="34"/>
      <c r="B979" s="34"/>
      <c r="C979" s="34"/>
      <c r="D979" s="34"/>
      <c r="M979" s="10"/>
    </row>
    <row r="980" spans="1:13" ht="12.3">
      <c r="A980" s="34"/>
      <c r="B980" s="34"/>
      <c r="C980" s="34"/>
      <c r="D980" s="34"/>
      <c r="M980" s="10"/>
    </row>
    <row r="981" spans="1:13" ht="12.3">
      <c r="A981" s="34"/>
      <c r="B981" s="34"/>
      <c r="C981" s="34"/>
      <c r="D981" s="34"/>
      <c r="M981" s="10"/>
    </row>
    <row r="982" spans="1:13" ht="12.3">
      <c r="A982" s="34"/>
      <c r="B982" s="34"/>
      <c r="C982" s="34"/>
      <c r="D982" s="34"/>
      <c r="M982" s="10"/>
    </row>
    <row r="983" spans="1:13" ht="12.3">
      <c r="A983" s="34"/>
      <c r="B983" s="34"/>
      <c r="C983" s="34"/>
      <c r="D983" s="34"/>
      <c r="M983" s="10"/>
    </row>
    <row r="984" spans="1:13" ht="12.3">
      <c r="A984" s="34"/>
      <c r="B984" s="34"/>
      <c r="C984" s="34"/>
      <c r="D984" s="34"/>
      <c r="M984" s="10"/>
    </row>
    <row r="985" spans="1:13" ht="12.3">
      <c r="A985" s="34"/>
      <c r="B985" s="34"/>
      <c r="C985" s="34"/>
      <c r="D985" s="34"/>
      <c r="M985" s="10"/>
    </row>
    <row r="986" spans="1:13" ht="12.3">
      <c r="A986" s="34"/>
      <c r="B986" s="34"/>
      <c r="C986" s="34"/>
      <c r="D986" s="34"/>
      <c r="M986" s="10"/>
    </row>
    <row r="987" spans="1:13" ht="12.3">
      <c r="A987" s="34"/>
      <c r="B987" s="34"/>
      <c r="C987" s="34"/>
      <c r="D987" s="34"/>
      <c r="M987" s="10"/>
    </row>
    <row r="988" spans="1:13" ht="12.3">
      <c r="A988" s="34"/>
      <c r="B988" s="34"/>
      <c r="C988" s="34"/>
      <c r="D988" s="34"/>
      <c r="M988" s="10"/>
    </row>
    <row r="989" spans="1:13" ht="12.3">
      <c r="A989" s="34"/>
      <c r="B989" s="34"/>
      <c r="C989" s="34"/>
      <c r="D989" s="34"/>
      <c r="M989" s="10"/>
    </row>
    <row r="990" spans="1:13" ht="12.3">
      <c r="A990" s="34"/>
      <c r="B990" s="34"/>
      <c r="C990" s="34"/>
      <c r="D990" s="34"/>
      <c r="M990" s="10"/>
    </row>
    <row r="991" spans="1:13" ht="12.3">
      <c r="A991" s="34"/>
      <c r="B991" s="34"/>
      <c r="C991" s="34"/>
      <c r="D991" s="34"/>
      <c r="M991" s="10"/>
    </row>
    <row r="992" spans="1:13" ht="12.3">
      <c r="A992" s="34"/>
      <c r="B992" s="34"/>
      <c r="C992" s="34"/>
      <c r="D992" s="34"/>
      <c r="M992" s="10"/>
    </row>
    <row r="993" spans="1:13" ht="12.3">
      <c r="A993" s="34"/>
      <c r="B993" s="34"/>
      <c r="C993" s="34"/>
      <c r="D993" s="34"/>
      <c r="M993" s="10"/>
    </row>
    <row r="994" spans="1:13" ht="12.3">
      <c r="A994" s="34"/>
      <c r="B994" s="34"/>
      <c r="C994" s="34"/>
      <c r="D994" s="34"/>
      <c r="M994" s="10"/>
    </row>
    <row r="995" spans="1:13" ht="12.3">
      <c r="A995" s="34"/>
      <c r="B995" s="34"/>
      <c r="C995" s="34"/>
      <c r="D995" s="34"/>
      <c r="M995" s="10"/>
    </row>
    <row r="996" spans="1:13" ht="12.3">
      <c r="A996" s="34"/>
      <c r="B996" s="34"/>
      <c r="C996" s="34"/>
      <c r="D996" s="34"/>
      <c r="M996" s="10"/>
    </row>
    <row r="997" spans="1:13" ht="12.3">
      <c r="A997" s="34"/>
      <c r="B997" s="34"/>
      <c r="C997" s="34"/>
      <c r="D997" s="34"/>
      <c r="M997" s="10"/>
    </row>
    <row r="998" spans="1:13" ht="12.3">
      <c r="A998" s="34"/>
      <c r="B998" s="34"/>
      <c r="C998" s="34"/>
      <c r="D998" s="34"/>
      <c r="M998" s="10"/>
    </row>
  </sheetData>
  <mergeCells count="1">
    <mergeCell ref="E8:E9"/>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M998"/>
  <sheetViews>
    <sheetView topLeftCell="A13" workbookViewId="0">
      <selection activeCell="D28" sqref="D28"/>
    </sheetView>
  </sheetViews>
  <sheetFormatPr defaultColWidth="12.609375" defaultRowHeight="15" customHeight="1"/>
  <cols>
    <col min="1" max="1" width="2.88671875" customWidth="1"/>
    <col min="4" max="4" width="18.88671875" customWidth="1"/>
    <col min="5" max="5" width="16.88671875" customWidth="1"/>
    <col min="6" max="6" width="6.5" customWidth="1"/>
    <col min="7" max="7" width="7.71875" customWidth="1"/>
    <col min="10" max="10" width="10" customWidth="1"/>
    <col min="11" max="11" width="9.71875" customWidth="1"/>
    <col min="12" max="12" width="8.38671875" customWidth="1"/>
    <col min="13" max="13" width="41.109375" customWidth="1"/>
  </cols>
  <sheetData>
    <row r="1" spans="1:13" ht="15" customHeight="1">
      <c r="A1" s="41"/>
      <c r="B1" s="42" t="s">
        <v>29</v>
      </c>
      <c r="C1" s="43" t="s">
        <v>37</v>
      </c>
      <c r="D1" s="43" t="s">
        <v>36</v>
      </c>
      <c r="E1" s="13" t="s">
        <v>175</v>
      </c>
      <c r="F1" s="8" t="s">
        <v>176</v>
      </c>
      <c r="G1" s="13" t="s">
        <v>177</v>
      </c>
      <c r="H1" s="13" t="s">
        <v>178</v>
      </c>
      <c r="I1" s="13" t="s">
        <v>38</v>
      </c>
      <c r="J1" s="13" t="s">
        <v>32</v>
      </c>
      <c r="K1" s="13" t="s">
        <v>33</v>
      </c>
      <c r="L1" s="13" t="s">
        <v>34</v>
      </c>
      <c r="M1" s="44" t="s">
        <v>35</v>
      </c>
    </row>
    <row r="2" spans="1:13" ht="15" customHeight="1">
      <c r="A2" s="7">
        <v>1</v>
      </c>
      <c r="B2" s="33">
        <v>45995</v>
      </c>
      <c r="C2" s="21">
        <v>0.34375</v>
      </c>
      <c r="D2" s="22" t="s">
        <v>18</v>
      </c>
      <c r="E2" s="18">
        <v>1</v>
      </c>
      <c r="F2" s="24">
        <v>4</v>
      </c>
      <c r="G2" s="18">
        <v>3</v>
      </c>
      <c r="H2" s="18">
        <v>25</v>
      </c>
      <c r="I2" s="18">
        <v>30</v>
      </c>
      <c r="J2" s="18">
        <v>120</v>
      </c>
      <c r="K2" s="18"/>
      <c r="L2" s="18">
        <v>32</v>
      </c>
      <c r="M2" s="45" t="s">
        <v>39</v>
      </c>
    </row>
    <row r="3" spans="1:13" ht="15" customHeight="1">
      <c r="A3" s="20">
        <v>2</v>
      </c>
      <c r="B3" s="33">
        <v>45995</v>
      </c>
      <c r="C3" s="21">
        <v>0.35416666666666669</v>
      </c>
      <c r="D3" s="22" t="s">
        <v>20</v>
      </c>
      <c r="E3" s="23">
        <v>1</v>
      </c>
      <c r="F3" s="24">
        <v>2</v>
      </c>
      <c r="G3" s="24">
        <v>11</v>
      </c>
      <c r="H3" s="24">
        <v>117</v>
      </c>
      <c r="I3" s="24">
        <v>221</v>
      </c>
      <c r="J3" s="24">
        <v>100</v>
      </c>
      <c r="K3" s="24">
        <v>50</v>
      </c>
      <c r="L3" s="24">
        <v>36</v>
      </c>
      <c r="M3" s="46" t="s">
        <v>39</v>
      </c>
    </row>
    <row r="4" spans="1:13" ht="15" customHeight="1">
      <c r="A4" s="20">
        <v>3</v>
      </c>
      <c r="B4" s="33">
        <v>45995</v>
      </c>
      <c r="C4" s="21">
        <v>0.36458333333333331</v>
      </c>
      <c r="D4" s="22" t="s">
        <v>2</v>
      </c>
      <c r="E4" s="24">
        <v>2</v>
      </c>
      <c r="F4" s="24">
        <v>1</v>
      </c>
      <c r="G4" s="24">
        <v>0</v>
      </c>
      <c r="H4" s="24">
        <v>121</v>
      </c>
      <c r="I4" s="24">
        <v>64</v>
      </c>
      <c r="J4" s="24">
        <v>150</v>
      </c>
      <c r="K4" s="24">
        <v>50</v>
      </c>
      <c r="L4" s="24">
        <v>44</v>
      </c>
      <c r="M4" s="46" t="s">
        <v>39</v>
      </c>
    </row>
    <row r="5" spans="1:13" ht="15" customHeight="1">
      <c r="A5" s="7">
        <v>4</v>
      </c>
      <c r="B5" s="33">
        <v>45995</v>
      </c>
      <c r="C5" s="21">
        <v>0.37847222222222221</v>
      </c>
      <c r="D5" s="22" t="s">
        <v>3</v>
      </c>
      <c r="E5" s="18">
        <v>1</v>
      </c>
      <c r="F5" s="18">
        <v>2</v>
      </c>
      <c r="G5" s="18">
        <v>3</v>
      </c>
      <c r="H5" s="18">
        <v>124</v>
      </c>
      <c r="I5" s="18">
        <v>127</v>
      </c>
      <c r="J5" s="18">
        <v>150</v>
      </c>
      <c r="K5" s="18">
        <v>30</v>
      </c>
      <c r="L5" s="18">
        <v>37</v>
      </c>
      <c r="M5" s="9" t="s">
        <v>39</v>
      </c>
    </row>
    <row r="6" spans="1:13" ht="15" customHeight="1">
      <c r="A6" s="7">
        <v>5</v>
      </c>
      <c r="B6" s="33">
        <v>45995</v>
      </c>
      <c r="C6" s="21">
        <v>0.38541666666666669</v>
      </c>
      <c r="D6" s="22" t="s">
        <v>9</v>
      </c>
      <c r="E6" s="18">
        <v>1</v>
      </c>
      <c r="F6" s="18">
        <v>3</v>
      </c>
      <c r="G6" s="18">
        <v>2</v>
      </c>
      <c r="H6" s="18">
        <v>237</v>
      </c>
      <c r="I6" s="18">
        <v>235</v>
      </c>
      <c r="J6" s="18">
        <v>150</v>
      </c>
      <c r="K6" s="18">
        <v>30</v>
      </c>
      <c r="L6" s="18">
        <v>33</v>
      </c>
      <c r="M6" s="45" t="s">
        <v>39</v>
      </c>
    </row>
    <row r="7" spans="1:13" ht="15" customHeight="1">
      <c r="A7" s="7">
        <v>6</v>
      </c>
      <c r="B7" s="33">
        <v>45995</v>
      </c>
      <c r="C7" s="21">
        <v>0.3888888888888889</v>
      </c>
      <c r="D7" s="22" t="s">
        <v>4</v>
      </c>
      <c r="E7" s="18">
        <v>1</v>
      </c>
      <c r="F7" s="18">
        <v>2</v>
      </c>
      <c r="G7" s="18">
        <v>1</v>
      </c>
      <c r="H7" s="18">
        <v>148</v>
      </c>
      <c r="I7" s="18">
        <v>214</v>
      </c>
      <c r="J7" s="18">
        <v>80</v>
      </c>
      <c r="K7" s="18">
        <v>60</v>
      </c>
      <c r="L7" s="18">
        <v>34</v>
      </c>
      <c r="M7" s="45" t="s">
        <v>39</v>
      </c>
    </row>
    <row r="8" spans="1:13" ht="15" customHeight="1">
      <c r="A8" s="7">
        <v>7</v>
      </c>
      <c r="B8" s="33">
        <v>45995</v>
      </c>
      <c r="C8" s="21">
        <v>0.40277777777777779</v>
      </c>
      <c r="D8" s="22" t="s">
        <v>15</v>
      </c>
      <c r="E8" s="49">
        <v>1</v>
      </c>
      <c r="F8" s="18">
        <v>2</v>
      </c>
      <c r="G8" s="18">
        <v>0</v>
      </c>
      <c r="H8" s="18">
        <v>42</v>
      </c>
      <c r="I8" s="18">
        <v>92</v>
      </c>
      <c r="J8" s="18">
        <v>100</v>
      </c>
      <c r="K8" s="18">
        <v>50</v>
      </c>
      <c r="L8" s="18">
        <v>32</v>
      </c>
      <c r="M8" s="45" t="s">
        <v>39</v>
      </c>
    </row>
    <row r="9" spans="1:13" ht="15" customHeight="1">
      <c r="A9" s="7">
        <v>8</v>
      </c>
      <c r="B9" s="33">
        <v>45995</v>
      </c>
      <c r="C9" s="21"/>
      <c r="D9" s="22" t="s">
        <v>16</v>
      </c>
      <c r="E9" s="50"/>
      <c r="F9" s="18"/>
      <c r="G9" s="18"/>
      <c r="H9" s="18"/>
      <c r="I9" s="18"/>
      <c r="J9" s="18"/>
      <c r="K9" s="18"/>
      <c r="L9" s="18"/>
      <c r="M9" s="45" t="s">
        <v>142</v>
      </c>
    </row>
    <row r="10" spans="1:13" ht="15" customHeight="1">
      <c r="A10" s="20">
        <v>9</v>
      </c>
      <c r="B10" s="33">
        <v>45995</v>
      </c>
      <c r="C10" s="21">
        <v>0.4513888888888889</v>
      </c>
      <c r="D10" s="22" t="s">
        <v>5</v>
      </c>
      <c r="E10" s="23">
        <v>1</v>
      </c>
      <c r="F10" s="24">
        <v>2</v>
      </c>
      <c r="G10" s="24">
        <v>5</v>
      </c>
      <c r="H10" s="24">
        <v>0</v>
      </c>
      <c r="I10" s="24">
        <v>0</v>
      </c>
      <c r="J10" s="24">
        <v>100</v>
      </c>
      <c r="K10" s="24">
        <v>50</v>
      </c>
      <c r="L10" s="24">
        <v>33</v>
      </c>
      <c r="M10" s="45" t="s">
        <v>39</v>
      </c>
    </row>
    <row r="11" spans="1:13" ht="15" customHeight="1">
      <c r="A11" s="7">
        <v>10</v>
      </c>
      <c r="B11" s="33">
        <v>45995</v>
      </c>
      <c r="C11" s="21"/>
      <c r="D11" s="22" t="s">
        <v>6</v>
      </c>
      <c r="E11" s="18"/>
      <c r="F11" s="18"/>
      <c r="G11" s="18"/>
      <c r="H11" s="18">
        <v>37</v>
      </c>
      <c r="I11" s="18">
        <v>0</v>
      </c>
      <c r="J11" s="18"/>
      <c r="K11" s="18"/>
      <c r="L11" s="18">
        <v>33</v>
      </c>
      <c r="M11" s="9" t="s">
        <v>143</v>
      </c>
    </row>
    <row r="12" spans="1:13" ht="15" customHeight="1">
      <c r="A12" s="7">
        <v>11</v>
      </c>
      <c r="B12" s="33">
        <v>45995</v>
      </c>
      <c r="C12" s="21">
        <v>0.46180555555555558</v>
      </c>
      <c r="D12" s="22" t="e">
        <f>#REF!</f>
        <v>#REF!</v>
      </c>
      <c r="E12" s="18">
        <v>1</v>
      </c>
      <c r="F12" s="18">
        <v>4</v>
      </c>
      <c r="G12" s="18">
        <v>2</v>
      </c>
      <c r="H12" s="18">
        <v>5</v>
      </c>
      <c r="I12" s="18"/>
      <c r="J12" s="18">
        <v>100</v>
      </c>
      <c r="K12" s="18">
        <v>50</v>
      </c>
      <c r="L12" s="18"/>
      <c r="M12" s="45" t="s">
        <v>39</v>
      </c>
    </row>
    <row r="13" spans="1:13" ht="15" customHeight="1">
      <c r="A13" s="20">
        <v>12</v>
      </c>
      <c r="B13" s="33">
        <v>45995</v>
      </c>
      <c r="C13" s="21">
        <v>0.43055555555555558</v>
      </c>
      <c r="D13" s="22" t="s">
        <v>19</v>
      </c>
      <c r="E13" s="24">
        <v>1</v>
      </c>
      <c r="F13" s="24">
        <v>2</v>
      </c>
      <c r="G13" s="24">
        <v>2</v>
      </c>
      <c r="H13" s="24">
        <v>70</v>
      </c>
      <c r="I13" s="24">
        <v>60</v>
      </c>
      <c r="J13" s="24">
        <v>100</v>
      </c>
      <c r="K13" s="24">
        <v>30</v>
      </c>
      <c r="L13" s="24">
        <v>70</v>
      </c>
      <c r="M13" s="45" t="s">
        <v>39</v>
      </c>
    </row>
    <row r="14" spans="1:13" ht="15" customHeight="1">
      <c r="A14" s="7">
        <v>13</v>
      </c>
      <c r="B14" s="33">
        <v>45995</v>
      </c>
      <c r="C14" s="21">
        <v>0.73611111111111116</v>
      </c>
      <c r="D14" s="22" t="s">
        <v>26</v>
      </c>
      <c r="E14" s="18"/>
      <c r="F14" s="18"/>
      <c r="G14" s="18"/>
      <c r="H14" s="18"/>
      <c r="I14" s="18"/>
      <c r="J14" s="18"/>
      <c r="K14" s="18"/>
      <c r="L14" s="18"/>
      <c r="M14" s="9">
        <v>5638667</v>
      </c>
    </row>
    <row r="15" spans="1:13" ht="15" customHeight="1">
      <c r="A15" s="7">
        <v>14</v>
      </c>
      <c r="B15" s="33">
        <v>45995</v>
      </c>
      <c r="C15" s="21">
        <v>0.72569444444444442</v>
      </c>
      <c r="D15" s="22" t="s">
        <v>13</v>
      </c>
      <c r="E15" s="18">
        <v>2</v>
      </c>
      <c r="F15" s="18">
        <v>5</v>
      </c>
      <c r="G15" s="18">
        <v>6</v>
      </c>
      <c r="H15" s="18">
        <v>36</v>
      </c>
      <c r="I15" s="18">
        <v>0</v>
      </c>
      <c r="J15" s="18">
        <v>150</v>
      </c>
      <c r="K15" s="18"/>
      <c r="L15" s="18"/>
      <c r="M15" s="45" t="s">
        <v>144</v>
      </c>
    </row>
    <row r="16" spans="1:13" ht="15" customHeight="1">
      <c r="A16" s="7">
        <v>15</v>
      </c>
      <c r="B16" s="33">
        <v>45995</v>
      </c>
      <c r="C16" s="21">
        <v>0.70486111111111116</v>
      </c>
      <c r="D16" s="22" t="s">
        <v>17</v>
      </c>
      <c r="E16" s="18">
        <v>1</v>
      </c>
      <c r="F16" s="18">
        <v>10</v>
      </c>
      <c r="G16" s="18">
        <v>3</v>
      </c>
      <c r="H16" s="18">
        <v>56</v>
      </c>
      <c r="I16" s="18">
        <v>60</v>
      </c>
      <c r="J16" s="18">
        <v>100</v>
      </c>
      <c r="K16" s="18">
        <v>50</v>
      </c>
      <c r="L16" s="18">
        <v>63</v>
      </c>
      <c r="M16" s="45" t="s">
        <v>145</v>
      </c>
    </row>
    <row r="17" spans="1:13" ht="15" customHeight="1">
      <c r="A17" s="7">
        <v>16</v>
      </c>
      <c r="B17" s="33">
        <v>45995</v>
      </c>
      <c r="C17" s="21">
        <v>0.69444444444444442</v>
      </c>
      <c r="D17" s="22" t="s">
        <v>12</v>
      </c>
      <c r="E17" s="18">
        <v>1</v>
      </c>
      <c r="F17" s="18">
        <v>5</v>
      </c>
      <c r="G17" s="18">
        <v>6</v>
      </c>
      <c r="H17" s="18">
        <v>44</v>
      </c>
      <c r="I17" s="18">
        <v>0</v>
      </c>
      <c r="J17" s="18">
        <v>150</v>
      </c>
      <c r="K17" s="18">
        <v>50</v>
      </c>
      <c r="L17" s="18">
        <v>56</v>
      </c>
      <c r="M17" s="9" t="s">
        <v>39</v>
      </c>
    </row>
    <row r="18" spans="1:13" ht="15" customHeight="1">
      <c r="A18" s="7">
        <v>17</v>
      </c>
      <c r="B18" s="33">
        <v>45995</v>
      </c>
      <c r="C18" s="21">
        <v>0.68402777777777779</v>
      </c>
      <c r="D18" s="22" t="s">
        <v>11</v>
      </c>
      <c r="E18" s="18">
        <v>2</v>
      </c>
      <c r="F18" s="18">
        <v>8</v>
      </c>
      <c r="G18" s="18">
        <v>0</v>
      </c>
      <c r="H18" s="18">
        <v>41</v>
      </c>
      <c r="I18" s="18">
        <v>51</v>
      </c>
      <c r="J18" s="18">
        <v>100</v>
      </c>
      <c r="K18" s="18">
        <v>50</v>
      </c>
      <c r="L18" s="18">
        <v>57</v>
      </c>
      <c r="M18" s="9" t="s">
        <v>39</v>
      </c>
    </row>
    <row r="19" spans="1:13" ht="15" customHeight="1">
      <c r="A19" s="7">
        <v>18</v>
      </c>
      <c r="B19" s="33">
        <v>45995</v>
      </c>
      <c r="C19" s="21">
        <v>0.67361111111111116</v>
      </c>
      <c r="D19" s="22" t="s">
        <v>23</v>
      </c>
      <c r="E19" s="18">
        <v>1</v>
      </c>
      <c r="F19" s="18">
        <v>11</v>
      </c>
      <c r="G19" s="18">
        <v>0</v>
      </c>
      <c r="H19" s="18">
        <v>50</v>
      </c>
      <c r="I19" s="18">
        <v>60</v>
      </c>
      <c r="J19" s="18">
        <v>130</v>
      </c>
      <c r="K19" s="18">
        <v>50</v>
      </c>
      <c r="L19" s="18">
        <v>57</v>
      </c>
      <c r="M19" s="9" t="s">
        <v>145</v>
      </c>
    </row>
    <row r="20" spans="1:13" ht="15" customHeight="1">
      <c r="A20" s="7">
        <v>19</v>
      </c>
      <c r="B20" s="33">
        <v>45995</v>
      </c>
      <c r="C20" s="21">
        <v>0.66666666666666663</v>
      </c>
      <c r="D20" s="22" t="s">
        <v>24</v>
      </c>
      <c r="E20" s="18">
        <v>1</v>
      </c>
      <c r="F20" s="18">
        <v>2</v>
      </c>
      <c r="G20" s="18">
        <v>0</v>
      </c>
      <c r="H20" s="18">
        <v>36</v>
      </c>
      <c r="I20" s="18">
        <v>30</v>
      </c>
      <c r="J20" s="18">
        <v>100</v>
      </c>
      <c r="K20" s="18">
        <v>50</v>
      </c>
      <c r="L20" s="18">
        <v>54</v>
      </c>
      <c r="M20" s="45" t="s">
        <v>39</v>
      </c>
    </row>
    <row r="21" spans="1:13" ht="15" customHeight="1">
      <c r="A21" s="7">
        <v>20</v>
      </c>
      <c r="B21" s="33">
        <v>45995</v>
      </c>
      <c r="C21" s="21">
        <v>0.65972222222222221</v>
      </c>
      <c r="D21" s="22" t="s">
        <v>10</v>
      </c>
      <c r="E21" s="18">
        <v>1</v>
      </c>
      <c r="F21" s="18">
        <v>6</v>
      </c>
      <c r="G21" s="18">
        <v>1</v>
      </c>
      <c r="H21" s="18">
        <v>98</v>
      </c>
      <c r="I21" s="18">
        <v>0</v>
      </c>
      <c r="J21" s="18">
        <v>100</v>
      </c>
      <c r="K21" s="18">
        <v>50</v>
      </c>
      <c r="L21" s="18">
        <v>58</v>
      </c>
      <c r="M21" s="9" t="s">
        <v>39</v>
      </c>
    </row>
    <row r="22" spans="1:13" ht="15" customHeight="1">
      <c r="A22" s="7">
        <v>21</v>
      </c>
      <c r="B22" s="33">
        <v>45995</v>
      </c>
      <c r="C22" s="21">
        <v>0.64236111111111116</v>
      </c>
      <c r="D22" s="22" t="s">
        <v>7</v>
      </c>
      <c r="E22" s="18">
        <v>1</v>
      </c>
      <c r="F22" s="18">
        <v>5</v>
      </c>
      <c r="G22" s="18">
        <v>2</v>
      </c>
      <c r="H22" s="18">
        <v>65</v>
      </c>
      <c r="I22" s="18">
        <v>140</v>
      </c>
      <c r="J22" s="18">
        <v>100</v>
      </c>
      <c r="K22" s="18">
        <v>50</v>
      </c>
      <c r="L22" s="18">
        <v>72</v>
      </c>
      <c r="M22" s="45" t="s">
        <v>39</v>
      </c>
    </row>
    <row r="23" spans="1:13" ht="15" customHeight="1">
      <c r="A23" s="7">
        <v>22</v>
      </c>
      <c r="B23" s="33">
        <v>45995</v>
      </c>
      <c r="C23" s="21">
        <v>0.64652777777777781</v>
      </c>
      <c r="D23" s="22" t="s">
        <v>8</v>
      </c>
      <c r="E23" s="18">
        <v>1</v>
      </c>
      <c r="F23" s="18">
        <v>4</v>
      </c>
      <c r="G23" s="18">
        <v>3</v>
      </c>
      <c r="H23" s="18">
        <v>97</v>
      </c>
      <c r="I23" s="18">
        <v>101</v>
      </c>
      <c r="J23" s="18">
        <v>80</v>
      </c>
      <c r="K23" s="18">
        <v>60</v>
      </c>
      <c r="L23" s="18">
        <v>88</v>
      </c>
      <c r="M23" s="9" t="s">
        <v>39</v>
      </c>
    </row>
    <row r="24" spans="1:13" ht="15" customHeight="1">
      <c r="A24" s="20">
        <v>23</v>
      </c>
      <c r="B24" s="33">
        <v>45995</v>
      </c>
      <c r="C24" s="21">
        <v>0.54861111111111116</v>
      </c>
      <c r="D24" s="22" t="s">
        <v>21</v>
      </c>
      <c r="E24" s="23">
        <v>1</v>
      </c>
      <c r="F24" s="24">
        <v>5</v>
      </c>
      <c r="G24" s="24">
        <v>10</v>
      </c>
      <c r="H24" s="24">
        <v>91</v>
      </c>
      <c r="I24" s="24">
        <v>59</v>
      </c>
      <c r="J24" s="24">
        <v>60</v>
      </c>
      <c r="K24" s="24">
        <v>60</v>
      </c>
      <c r="L24" s="24">
        <v>59</v>
      </c>
      <c r="M24" s="46" t="s">
        <v>145</v>
      </c>
    </row>
    <row r="25" spans="1:13" ht="15" customHeight="1">
      <c r="A25" s="20">
        <v>24</v>
      </c>
      <c r="B25" s="33">
        <v>45995</v>
      </c>
      <c r="C25" s="21">
        <v>0.54861111111111116</v>
      </c>
      <c r="D25" s="22" t="s">
        <v>22</v>
      </c>
      <c r="E25" s="23">
        <v>1</v>
      </c>
      <c r="F25" s="24">
        <v>4</v>
      </c>
      <c r="G25" s="24">
        <v>0</v>
      </c>
      <c r="H25" s="24">
        <v>41</v>
      </c>
      <c r="I25" s="24">
        <v>40</v>
      </c>
      <c r="J25" s="24">
        <v>75</v>
      </c>
      <c r="K25" s="24">
        <v>50</v>
      </c>
      <c r="L25" s="24">
        <v>60</v>
      </c>
      <c r="M25" s="46" t="s">
        <v>146</v>
      </c>
    </row>
    <row r="26" spans="1:13" ht="12.3">
      <c r="A26" s="7">
        <v>25</v>
      </c>
      <c r="B26" s="33">
        <v>45995</v>
      </c>
      <c r="C26" s="21">
        <v>0.57986111111111116</v>
      </c>
      <c r="D26" s="22" t="s">
        <v>25</v>
      </c>
      <c r="E26" s="5">
        <v>1</v>
      </c>
      <c r="F26" s="18">
        <v>5</v>
      </c>
      <c r="G26" s="18">
        <v>4</v>
      </c>
      <c r="H26" s="18">
        <v>244</v>
      </c>
      <c r="I26" s="18">
        <v>266</v>
      </c>
      <c r="J26" s="18">
        <v>60</v>
      </c>
      <c r="K26" s="18">
        <v>80</v>
      </c>
      <c r="L26" s="18">
        <v>58</v>
      </c>
      <c r="M26" s="45" t="s">
        <v>39</v>
      </c>
    </row>
    <row r="27" spans="1:13" ht="12.3">
      <c r="A27" s="7">
        <v>26</v>
      </c>
      <c r="B27" s="33">
        <v>45995</v>
      </c>
      <c r="C27" s="47">
        <v>0.55763888888888891</v>
      </c>
      <c r="D27" s="22" t="s">
        <v>27</v>
      </c>
      <c r="E27" s="18"/>
      <c r="F27" s="18"/>
      <c r="G27" s="18"/>
      <c r="H27" s="36"/>
      <c r="I27" s="36"/>
      <c r="J27" s="36"/>
      <c r="K27" s="36"/>
      <c r="L27" s="36"/>
      <c r="M27" s="45">
        <v>7762584</v>
      </c>
    </row>
    <row r="28" spans="1:13" ht="12.3">
      <c r="A28" s="7">
        <v>27</v>
      </c>
      <c r="B28" s="33"/>
      <c r="C28" s="24"/>
      <c r="D28" s="18" t="s">
        <v>179</v>
      </c>
      <c r="E28" s="18"/>
      <c r="F28" s="18"/>
      <c r="G28" s="18"/>
      <c r="H28" s="18"/>
      <c r="I28" s="18"/>
      <c r="J28" s="18"/>
      <c r="K28" s="18"/>
      <c r="L28" s="18"/>
      <c r="M28" s="45" t="s">
        <v>132</v>
      </c>
    </row>
    <row r="29" spans="1:13" ht="36.9">
      <c r="A29" s="7">
        <v>28</v>
      </c>
      <c r="B29" s="33"/>
      <c r="C29" s="21"/>
      <c r="D29" s="22" t="s">
        <v>77</v>
      </c>
      <c r="E29" s="18"/>
      <c r="F29" s="18"/>
      <c r="G29" s="18"/>
      <c r="H29" s="18"/>
      <c r="I29" s="18"/>
      <c r="J29" s="18"/>
      <c r="K29" s="18"/>
      <c r="L29" s="18"/>
      <c r="M29" s="45" t="s">
        <v>139</v>
      </c>
    </row>
    <row r="30" spans="1:13" ht="36.9">
      <c r="A30" s="7">
        <v>29</v>
      </c>
      <c r="B30" s="33"/>
      <c r="C30" s="24"/>
      <c r="D30" s="22" t="s">
        <v>140</v>
      </c>
      <c r="E30" s="18"/>
      <c r="F30" s="18"/>
      <c r="G30" s="18"/>
      <c r="H30" s="18"/>
      <c r="I30" s="18"/>
      <c r="J30" s="18"/>
      <c r="K30" s="18"/>
      <c r="L30" s="18"/>
      <c r="M30" s="45" t="s">
        <v>105</v>
      </c>
    </row>
    <row r="31" spans="1:13" ht="12.3">
      <c r="A31" s="7">
        <v>30</v>
      </c>
      <c r="B31" s="33"/>
      <c r="C31" s="24"/>
      <c r="D31" s="22" t="s">
        <v>28</v>
      </c>
      <c r="E31" s="18"/>
      <c r="F31" s="18"/>
      <c r="G31" s="18"/>
      <c r="H31" s="18"/>
      <c r="I31" s="18"/>
      <c r="J31" s="18"/>
      <c r="K31" s="18"/>
      <c r="L31" s="18"/>
      <c r="M31" s="45" t="s">
        <v>133</v>
      </c>
    </row>
    <row r="32" spans="1:13" ht="12.3">
      <c r="A32" s="7">
        <v>31</v>
      </c>
      <c r="B32" s="33"/>
      <c r="C32" s="24"/>
      <c r="D32" s="22" t="s">
        <v>14</v>
      </c>
      <c r="E32" s="18"/>
      <c r="F32" s="18"/>
      <c r="G32" s="18"/>
      <c r="H32" s="18"/>
      <c r="I32" s="18"/>
      <c r="J32" s="18"/>
      <c r="K32" s="18"/>
      <c r="L32" s="18"/>
      <c r="M32" s="9" t="s">
        <v>141</v>
      </c>
    </row>
    <row r="33" spans="1:13" ht="12.3">
      <c r="A33" s="7">
        <v>32</v>
      </c>
      <c r="B33" s="33"/>
      <c r="C33" s="24"/>
      <c r="D33" s="22"/>
      <c r="E33" s="18"/>
      <c r="F33" s="18"/>
      <c r="G33" s="18"/>
      <c r="H33" s="18"/>
      <c r="I33" s="18"/>
      <c r="J33" s="18"/>
      <c r="K33" s="18"/>
      <c r="L33" s="18"/>
      <c r="M33" s="9"/>
    </row>
    <row r="34" spans="1:13" ht="12.3">
      <c r="A34" s="7">
        <v>33</v>
      </c>
      <c r="B34" s="33"/>
      <c r="C34" s="24"/>
      <c r="D34" s="24"/>
      <c r="E34" s="18"/>
      <c r="F34" s="18"/>
      <c r="G34" s="18"/>
      <c r="H34" s="18"/>
      <c r="I34" s="18"/>
      <c r="J34" s="18"/>
      <c r="K34" s="18"/>
      <c r="L34" s="18"/>
      <c r="M34" s="9"/>
    </row>
    <row r="35" spans="1:13" ht="12.3">
      <c r="A35" s="7">
        <v>34</v>
      </c>
      <c r="B35" s="33"/>
      <c r="C35" s="24"/>
      <c r="D35" s="24"/>
      <c r="E35" s="18"/>
      <c r="F35" s="18"/>
      <c r="G35" s="18"/>
      <c r="H35" s="18"/>
      <c r="I35" s="18"/>
      <c r="J35" s="18"/>
      <c r="K35" s="18"/>
      <c r="L35" s="18"/>
      <c r="M35" s="9"/>
    </row>
    <row r="36" spans="1:13" ht="12.3">
      <c r="A36" s="7">
        <v>35</v>
      </c>
      <c r="B36" s="33"/>
      <c r="C36" s="24"/>
      <c r="D36" s="24"/>
      <c r="E36" s="18"/>
      <c r="F36" s="18"/>
      <c r="G36" s="18"/>
      <c r="H36" s="18"/>
      <c r="I36" s="18"/>
      <c r="J36" s="18"/>
      <c r="K36" s="18"/>
      <c r="L36" s="18"/>
      <c r="M36" s="9"/>
    </row>
    <row r="37" spans="1:13" ht="12.3">
      <c r="A37" s="7">
        <v>36</v>
      </c>
      <c r="B37" s="34"/>
      <c r="C37" s="34"/>
      <c r="D37" s="34"/>
      <c r="H37" s="1">
        <f>SUM(H2:H36)</f>
        <v>1825</v>
      </c>
      <c r="M37" s="10"/>
    </row>
    <row r="38" spans="1:13" ht="12.3">
      <c r="A38" s="34"/>
      <c r="B38" s="34"/>
      <c r="C38" s="34"/>
      <c r="D38" s="34"/>
      <c r="M38" s="10"/>
    </row>
    <row r="39" spans="1:13" ht="12.3">
      <c r="A39" s="34"/>
      <c r="B39" s="34"/>
      <c r="C39" s="34"/>
      <c r="D39" s="34"/>
      <c r="M39" s="10"/>
    </row>
    <row r="40" spans="1:13" ht="12.3">
      <c r="A40" s="34"/>
      <c r="B40" s="34"/>
      <c r="C40" s="34"/>
      <c r="D40" s="34"/>
      <c r="M40" s="10"/>
    </row>
    <row r="41" spans="1:13" ht="12.3">
      <c r="A41" s="34"/>
      <c r="B41" s="34"/>
      <c r="C41" s="34"/>
      <c r="D41" s="34"/>
      <c r="M41" s="10"/>
    </row>
    <row r="42" spans="1:13" ht="12.3">
      <c r="A42" s="34"/>
      <c r="B42" s="34"/>
      <c r="C42" s="34"/>
      <c r="D42" s="34"/>
      <c r="M42" s="10"/>
    </row>
    <row r="43" spans="1:13" ht="12.3">
      <c r="A43" s="34"/>
      <c r="B43" s="34"/>
      <c r="C43" s="34"/>
      <c r="D43" s="34"/>
      <c r="M43" s="10"/>
    </row>
    <row r="44" spans="1:13" ht="12.3">
      <c r="A44" s="34"/>
      <c r="B44" s="34"/>
      <c r="C44" s="34"/>
      <c r="D44" s="34"/>
      <c r="M44" s="10"/>
    </row>
    <row r="45" spans="1:13" ht="12.3">
      <c r="A45" s="34"/>
      <c r="B45" s="34"/>
      <c r="C45" s="34"/>
      <c r="D45" s="34"/>
      <c r="M45" s="10"/>
    </row>
    <row r="46" spans="1:13" ht="12.3">
      <c r="A46" s="34"/>
      <c r="B46" s="34"/>
      <c r="C46" s="34"/>
      <c r="D46" s="34"/>
      <c r="M46" s="10"/>
    </row>
    <row r="47" spans="1:13" ht="12.3">
      <c r="A47" s="34"/>
      <c r="B47" s="34"/>
      <c r="C47" s="34"/>
      <c r="D47" s="34"/>
      <c r="M47" s="10"/>
    </row>
    <row r="48" spans="1:13" ht="12.3">
      <c r="A48" s="34"/>
      <c r="B48" s="34"/>
      <c r="C48" s="34"/>
      <c r="D48" s="34"/>
      <c r="M48" s="10"/>
    </row>
    <row r="49" spans="1:13" ht="12.3">
      <c r="A49" s="34"/>
      <c r="B49" s="34"/>
      <c r="C49" s="34"/>
      <c r="D49" s="34"/>
      <c r="M49" s="10"/>
    </row>
    <row r="50" spans="1:13" ht="12.3">
      <c r="A50" s="34"/>
      <c r="B50" s="34"/>
      <c r="C50" s="34"/>
      <c r="D50" s="34"/>
      <c r="M50" s="10"/>
    </row>
    <row r="51" spans="1:13" ht="12.3">
      <c r="A51" s="34"/>
      <c r="B51" s="34"/>
      <c r="C51" s="34"/>
      <c r="D51" s="34"/>
      <c r="M51" s="10"/>
    </row>
    <row r="52" spans="1:13" ht="12.3">
      <c r="A52" s="34"/>
      <c r="B52" s="34"/>
      <c r="C52" s="34"/>
      <c r="D52" s="34"/>
      <c r="M52" s="10"/>
    </row>
    <row r="53" spans="1:13" ht="12.3">
      <c r="A53" s="34"/>
      <c r="B53" s="34"/>
      <c r="C53" s="34"/>
      <c r="D53" s="34"/>
      <c r="M53" s="10"/>
    </row>
    <row r="54" spans="1:13" ht="12.3">
      <c r="A54" s="34"/>
      <c r="B54" s="34"/>
      <c r="C54" s="34"/>
      <c r="D54" s="34"/>
      <c r="M54" s="10"/>
    </row>
    <row r="55" spans="1:13" ht="12.3">
      <c r="A55" s="34"/>
      <c r="B55" s="34"/>
      <c r="C55" s="34"/>
      <c r="D55" s="34"/>
      <c r="M55" s="10"/>
    </row>
    <row r="56" spans="1:13" ht="12.3">
      <c r="A56" s="34"/>
      <c r="B56" s="34"/>
      <c r="C56" s="34"/>
      <c r="D56" s="34"/>
      <c r="M56" s="10"/>
    </row>
    <row r="57" spans="1:13" ht="12.3">
      <c r="A57" s="34"/>
      <c r="B57" s="34"/>
      <c r="C57" s="34"/>
      <c r="D57" s="34"/>
      <c r="M57" s="10"/>
    </row>
    <row r="58" spans="1:13" ht="12.3">
      <c r="A58" s="34"/>
      <c r="B58" s="34"/>
      <c r="C58" s="34"/>
      <c r="D58" s="34"/>
      <c r="M58" s="10"/>
    </row>
    <row r="59" spans="1:13" ht="12.3">
      <c r="A59" s="34"/>
      <c r="B59" s="34"/>
      <c r="C59" s="34"/>
      <c r="D59" s="34"/>
      <c r="M59" s="10"/>
    </row>
    <row r="60" spans="1:13" ht="12.3">
      <c r="A60" s="34"/>
      <c r="B60" s="34"/>
      <c r="C60" s="34"/>
      <c r="D60" s="34"/>
      <c r="M60" s="10"/>
    </row>
    <row r="61" spans="1:13" ht="12.3">
      <c r="A61" s="34"/>
      <c r="B61" s="34"/>
      <c r="C61" s="34"/>
      <c r="D61" s="34"/>
      <c r="M61" s="10"/>
    </row>
    <row r="62" spans="1:13" ht="12.3">
      <c r="A62" s="34"/>
      <c r="B62" s="34"/>
      <c r="C62" s="34"/>
      <c r="D62" s="34"/>
      <c r="M62" s="10"/>
    </row>
    <row r="63" spans="1:13" ht="12.3">
      <c r="A63" s="34"/>
      <c r="B63" s="34"/>
      <c r="C63" s="34"/>
      <c r="D63" s="34"/>
      <c r="M63" s="10"/>
    </row>
    <row r="64" spans="1:13" ht="12.3">
      <c r="A64" s="34"/>
      <c r="B64" s="34"/>
      <c r="C64" s="34"/>
      <c r="D64" s="34"/>
      <c r="M64" s="10"/>
    </row>
    <row r="65" spans="1:13" ht="12.3">
      <c r="A65" s="34"/>
      <c r="B65" s="34"/>
      <c r="C65" s="34"/>
      <c r="D65" s="34"/>
      <c r="M65" s="10"/>
    </row>
    <row r="66" spans="1:13" ht="12.3">
      <c r="A66" s="34"/>
      <c r="B66" s="34"/>
      <c r="C66" s="34"/>
      <c r="D66" s="34"/>
      <c r="M66" s="10"/>
    </row>
    <row r="67" spans="1:13" ht="12.3">
      <c r="A67" s="34"/>
      <c r="B67" s="34"/>
      <c r="C67" s="34"/>
      <c r="D67" s="34"/>
      <c r="M67" s="10"/>
    </row>
    <row r="68" spans="1:13" ht="12.3">
      <c r="A68" s="34"/>
      <c r="B68" s="34"/>
      <c r="C68" s="34"/>
      <c r="D68" s="34"/>
      <c r="M68" s="10"/>
    </row>
    <row r="69" spans="1:13" ht="12.3">
      <c r="A69" s="34"/>
      <c r="B69" s="34"/>
      <c r="C69" s="34"/>
      <c r="D69" s="34"/>
      <c r="M69" s="10"/>
    </row>
    <row r="70" spans="1:13" ht="12.3">
      <c r="A70" s="34"/>
      <c r="B70" s="34"/>
      <c r="C70" s="34"/>
      <c r="D70" s="34"/>
      <c r="M70" s="10"/>
    </row>
    <row r="71" spans="1:13" ht="12.3">
      <c r="A71" s="34"/>
      <c r="B71" s="34"/>
      <c r="C71" s="34"/>
      <c r="D71" s="34"/>
      <c r="M71" s="10"/>
    </row>
    <row r="72" spans="1:13" ht="12.3">
      <c r="A72" s="34"/>
      <c r="B72" s="34"/>
      <c r="C72" s="34"/>
      <c r="D72" s="34"/>
      <c r="M72" s="10"/>
    </row>
    <row r="73" spans="1:13" ht="12.3">
      <c r="A73" s="34"/>
      <c r="B73" s="34"/>
      <c r="C73" s="34"/>
      <c r="D73" s="34"/>
      <c r="M73" s="10"/>
    </row>
    <row r="74" spans="1:13" ht="12.3">
      <c r="A74" s="34"/>
      <c r="B74" s="34"/>
      <c r="C74" s="34"/>
      <c r="D74" s="34"/>
      <c r="M74" s="10"/>
    </row>
    <row r="75" spans="1:13" ht="12.3">
      <c r="A75" s="34"/>
      <c r="B75" s="34"/>
      <c r="C75" s="34"/>
      <c r="D75" s="34"/>
      <c r="M75" s="10"/>
    </row>
    <row r="76" spans="1:13" ht="12.3">
      <c r="A76" s="34"/>
      <c r="B76" s="34"/>
      <c r="C76" s="34"/>
      <c r="D76" s="34"/>
      <c r="M76" s="10"/>
    </row>
    <row r="77" spans="1:13" ht="12.3">
      <c r="A77" s="34"/>
      <c r="B77" s="34"/>
      <c r="C77" s="34"/>
      <c r="D77" s="34"/>
      <c r="M77" s="10"/>
    </row>
    <row r="78" spans="1:13" ht="12.3">
      <c r="A78" s="34"/>
      <c r="B78" s="34"/>
      <c r="C78" s="34"/>
      <c r="D78" s="34"/>
      <c r="M78" s="10"/>
    </row>
    <row r="79" spans="1:13" ht="12.3">
      <c r="A79" s="34"/>
      <c r="B79" s="34"/>
      <c r="C79" s="34"/>
      <c r="D79" s="34"/>
      <c r="M79" s="10"/>
    </row>
    <row r="80" spans="1:13" ht="12.3">
      <c r="A80" s="34"/>
      <c r="B80" s="34"/>
      <c r="C80" s="34"/>
      <c r="D80" s="34"/>
      <c r="M80" s="10"/>
    </row>
    <row r="81" spans="1:13" ht="12.3">
      <c r="A81" s="34"/>
      <c r="B81" s="34"/>
      <c r="C81" s="34"/>
      <c r="D81" s="34"/>
      <c r="M81" s="10"/>
    </row>
    <row r="82" spans="1:13" ht="12.3">
      <c r="A82" s="34"/>
      <c r="B82" s="34"/>
      <c r="C82" s="34"/>
      <c r="D82" s="34"/>
      <c r="M82" s="10"/>
    </row>
    <row r="83" spans="1:13" ht="12.3">
      <c r="A83" s="34"/>
      <c r="B83" s="34"/>
      <c r="C83" s="34"/>
      <c r="D83" s="34"/>
      <c r="M83" s="10"/>
    </row>
    <row r="84" spans="1:13" ht="12.3">
      <c r="A84" s="34"/>
      <c r="B84" s="34"/>
      <c r="C84" s="34"/>
      <c r="D84" s="34"/>
      <c r="M84" s="10"/>
    </row>
    <row r="85" spans="1:13" ht="12.3">
      <c r="A85" s="34"/>
      <c r="B85" s="34"/>
      <c r="C85" s="34"/>
      <c r="D85" s="34"/>
      <c r="M85" s="10"/>
    </row>
    <row r="86" spans="1:13" ht="12.3">
      <c r="A86" s="34"/>
      <c r="B86" s="34"/>
      <c r="C86" s="34"/>
      <c r="D86" s="34"/>
      <c r="M86" s="10"/>
    </row>
    <row r="87" spans="1:13" ht="12.3">
      <c r="A87" s="34"/>
      <c r="B87" s="34"/>
      <c r="C87" s="34"/>
      <c r="D87" s="34"/>
      <c r="M87" s="10"/>
    </row>
    <row r="88" spans="1:13" ht="12.3">
      <c r="A88" s="34"/>
      <c r="B88" s="34"/>
      <c r="C88" s="34"/>
      <c r="D88" s="34"/>
      <c r="M88" s="10"/>
    </row>
    <row r="89" spans="1:13" ht="12.3">
      <c r="A89" s="34"/>
      <c r="B89" s="34"/>
      <c r="C89" s="34"/>
      <c r="D89" s="34"/>
      <c r="M89" s="10"/>
    </row>
    <row r="90" spans="1:13" ht="12.3">
      <c r="A90" s="34"/>
      <c r="B90" s="34"/>
      <c r="C90" s="34"/>
      <c r="D90" s="34"/>
      <c r="M90" s="10"/>
    </row>
    <row r="91" spans="1:13" ht="12.3">
      <c r="A91" s="34"/>
      <c r="B91" s="34"/>
      <c r="C91" s="34"/>
      <c r="D91" s="34"/>
      <c r="M91" s="10"/>
    </row>
    <row r="92" spans="1:13" ht="12.3">
      <c r="A92" s="34"/>
      <c r="B92" s="34"/>
      <c r="C92" s="34"/>
      <c r="D92" s="34"/>
      <c r="M92" s="10"/>
    </row>
    <row r="93" spans="1:13" ht="12.3">
      <c r="A93" s="34"/>
      <c r="B93" s="34"/>
      <c r="C93" s="34"/>
      <c r="D93" s="34"/>
      <c r="M93" s="10"/>
    </row>
    <row r="94" spans="1:13" ht="12.3">
      <c r="A94" s="34"/>
      <c r="B94" s="34"/>
      <c r="C94" s="34"/>
      <c r="D94" s="34"/>
      <c r="M94" s="10"/>
    </row>
    <row r="95" spans="1:13" ht="12.3">
      <c r="A95" s="34"/>
      <c r="B95" s="34"/>
      <c r="C95" s="34"/>
      <c r="D95" s="34"/>
      <c r="M95" s="10"/>
    </row>
    <row r="96" spans="1:13" ht="12.3">
      <c r="A96" s="34"/>
      <c r="B96" s="34"/>
      <c r="C96" s="34"/>
      <c r="D96" s="34"/>
      <c r="M96" s="10"/>
    </row>
    <row r="97" spans="1:13" ht="12.3">
      <c r="A97" s="34"/>
      <c r="B97" s="34"/>
      <c r="C97" s="34"/>
      <c r="D97" s="34"/>
      <c r="M97" s="10"/>
    </row>
    <row r="98" spans="1:13" ht="12.3">
      <c r="A98" s="34"/>
      <c r="B98" s="34"/>
      <c r="C98" s="34"/>
      <c r="D98" s="34"/>
      <c r="M98" s="10"/>
    </row>
    <row r="99" spans="1:13" ht="12.3">
      <c r="A99" s="34"/>
      <c r="B99" s="34"/>
      <c r="C99" s="34"/>
      <c r="D99" s="34"/>
      <c r="M99" s="10"/>
    </row>
    <row r="100" spans="1:13" ht="12.3">
      <c r="A100" s="34"/>
      <c r="B100" s="34"/>
      <c r="C100" s="34"/>
      <c r="D100" s="34"/>
      <c r="M100" s="10"/>
    </row>
    <row r="101" spans="1:13" ht="12.3">
      <c r="A101" s="34"/>
      <c r="B101" s="34"/>
      <c r="C101" s="34"/>
      <c r="D101" s="34"/>
      <c r="M101" s="10"/>
    </row>
    <row r="102" spans="1:13" ht="12.3">
      <c r="A102" s="34"/>
      <c r="B102" s="34"/>
      <c r="C102" s="34"/>
      <c r="D102" s="34"/>
      <c r="M102" s="10"/>
    </row>
    <row r="103" spans="1:13" ht="12.3">
      <c r="A103" s="34"/>
      <c r="B103" s="34"/>
      <c r="C103" s="34"/>
      <c r="D103" s="34"/>
      <c r="M103" s="10"/>
    </row>
    <row r="104" spans="1:13" ht="12.3">
      <c r="A104" s="34"/>
      <c r="B104" s="34"/>
      <c r="C104" s="34"/>
      <c r="D104" s="34"/>
      <c r="M104" s="10"/>
    </row>
    <row r="105" spans="1:13" ht="12.3">
      <c r="A105" s="34"/>
      <c r="B105" s="34"/>
      <c r="C105" s="34"/>
      <c r="D105" s="34"/>
      <c r="M105" s="10"/>
    </row>
    <row r="106" spans="1:13" ht="12.3">
      <c r="A106" s="34"/>
      <c r="B106" s="34"/>
      <c r="C106" s="34"/>
      <c r="D106" s="34"/>
      <c r="M106" s="10"/>
    </row>
    <row r="107" spans="1:13" ht="12.3">
      <c r="A107" s="34"/>
      <c r="B107" s="34"/>
      <c r="C107" s="34"/>
      <c r="D107" s="34"/>
      <c r="M107" s="10"/>
    </row>
    <row r="108" spans="1:13" ht="12.3">
      <c r="A108" s="34"/>
      <c r="B108" s="34"/>
      <c r="C108" s="34"/>
      <c r="D108" s="34"/>
      <c r="M108" s="10"/>
    </row>
    <row r="109" spans="1:13" ht="12.3">
      <c r="A109" s="34"/>
      <c r="B109" s="34"/>
      <c r="C109" s="34"/>
      <c r="D109" s="34"/>
      <c r="M109" s="10"/>
    </row>
    <row r="110" spans="1:13" ht="12.3">
      <c r="A110" s="34"/>
      <c r="B110" s="34"/>
      <c r="C110" s="34"/>
      <c r="D110" s="34"/>
      <c r="M110" s="10"/>
    </row>
    <row r="111" spans="1:13" ht="12.3">
      <c r="A111" s="34"/>
      <c r="B111" s="34"/>
      <c r="C111" s="34"/>
      <c r="D111" s="34"/>
      <c r="M111" s="10"/>
    </row>
    <row r="112" spans="1:13" ht="12.3">
      <c r="A112" s="34"/>
      <c r="B112" s="34"/>
      <c r="C112" s="34"/>
      <c r="D112" s="34"/>
      <c r="M112" s="10"/>
    </row>
    <row r="113" spans="1:13" ht="12.3">
      <c r="A113" s="34"/>
      <c r="B113" s="34"/>
      <c r="C113" s="34"/>
      <c r="D113" s="34"/>
      <c r="M113" s="10"/>
    </row>
    <row r="114" spans="1:13" ht="12.3">
      <c r="A114" s="34"/>
      <c r="B114" s="34"/>
      <c r="C114" s="34"/>
      <c r="D114" s="34"/>
      <c r="M114" s="10"/>
    </row>
    <row r="115" spans="1:13" ht="12.3">
      <c r="A115" s="34"/>
      <c r="B115" s="34"/>
      <c r="C115" s="34"/>
      <c r="D115" s="34"/>
      <c r="M115" s="10"/>
    </row>
    <row r="116" spans="1:13" ht="12.3">
      <c r="A116" s="34"/>
      <c r="B116" s="34"/>
      <c r="C116" s="34"/>
      <c r="D116" s="34"/>
      <c r="M116" s="10"/>
    </row>
    <row r="117" spans="1:13" ht="12.3">
      <c r="A117" s="34"/>
      <c r="B117" s="34"/>
      <c r="C117" s="34"/>
      <c r="D117" s="34"/>
      <c r="M117" s="10"/>
    </row>
    <row r="118" spans="1:13" ht="12.3">
      <c r="A118" s="34"/>
      <c r="B118" s="34"/>
      <c r="C118" s="34"/>
      <c r="D118" s="34"/>
      <c r="M118" s="10"/>
    </row>
    <row r="119" spans="1:13" ht="12.3">
      <c r="A119" s="34"/>
      <c r="B119" s="34"/>
      <c r="C119" s="34"/>
      <c r="D119" s="34"/>
      <c r="M119" s="10"/>
    </row>
    <row r="120" spans="1:13" ht="12.3">
      <c r="A120" s="34"/>
      <c r="B120" s="34"/>
      <c r="C120" s="34"/>
      <c r="D120" s="34"/>
      <c r="M120" s="10"/>
    </row>
    <row r="121" spans="1:13" ht="12.3">
      <c r="A121" s="34"/>
      <c r="B121" s="34"/>
      <c r="C121" s="34"/>
      <c r="D121" s="34"/>
      <c r="M121" s="10"/>
    </row>
    <row r="122" spans="1:13" ht="12.3">
      <c r="A122" s="34"/>
      <c r="B122" s="34"/>
      <c r="C122" s="34"/>
      <c r="D122" s="34"/>
      <c r="M122" s="10"/>
    </row>
    <row r="123" spans="1:13" ht="12.3">
      <c r="A123" s="34"/>
      <c r="B123" s="34"/>
      <c r="C123" s="34"/>
      <c r="D123" s="34"/>
      <c r="M123" s="10"/>
    </row>
    <row r="124" spans="1:13" ht="12.3">
      <c r="A124" s="34"/>
      <c r="B124" s="34"/>
      <c r="C124" s="34"/>
      <c r="D124" s="34"/>
      <c r="M124" s="10"/>
    </row>
    <row r="125" spans="1:13" ht="12.3">
      <c r="A125" s="34"/>
      <c r="B125" s="34"/>
      <c r="C125" s="34"/>
      <c r="D125" s="34"/>
      <c r="M125" s="10"/>
    </row>
    <row r="126" spans="1:13" ht="12.3">
      <c r="A126" s="34"/>
      <c r="B126" s="34"/>
      <c r="C126" s="34"/>
      <c r="D126" s="34"/>
      <c r="M126" s="10"/>
    </row>
    <row r="127" spans="1:13" ht="12.3">
      <c r="A127" s="34"/>
      <c r="B127" s="34"/>
      <c r="C127" s="34"/>
      <c r="D127" s="34"/>
      <c r="M127" s="10"/>
    </row>
    <row r="128" spans="1:13" ht="12.3">
      <c r="A128" s="34"/>
      <c r="B128" s="34"/>
      <c r="C128" s="34"/>
      <c r="D128" s="34"/>
      <c r="M128" s="10"/>
    </row>
    <row r="129" spans="1:13" ht="12.3">
      <c r="A129" s="34"/>
      <c r="B129" s="34"/>
      <c r="C129" s="34"/>
      <c r="D129" s="34"/>
      <c r="M129" s="10"/>
    </row>
    <row r="130" spans="1:13" ht="12.3">
      <c r="A130" s="34"/>
      <c r="B130" s="34"/>
      <c r="C130" s="34"/>
      <c r="D130" s="34"/>
      <c r="M130" s="10"/>
    </row>
    <row r="131" spans="1:13" ht="12.3">
      <c r="A131" s="34"/>
      <c r="B131" s="34"/>
      <c r="C131" s="34"/>
      <c r="D131" s="34"/>
      <c r="M131" s="10"/>
    </row>
    <row r="132" spans="1:13" ht="12.3">
      <c r="A132" s="34"/>
      <c r="B132" s="34"/>
      <c r="C132" s="34"/>
      <c r="D132" s="34"/>
      <c r="M132" s="10"/>
    </row>
    <row r="133" spans="1:13" ht="12.3">
      <c r="A133" s="34"/>
      <c r="B133" s="34"/>
      <c r="C133" s="34"/>
      <c r="D133" s="34"/>
      <c r="M133" s="10"/>
    </row>
    <row r="134" spans="1:13" ht="12.3">
      <c r="A134" s="34"/>
      <c r="B134" s="34"/>
      <c r="C134" s="34"/>
      <c r="D134" s="34"/>
      <c r="M134" s="10"/>
    </row>
    <row r="135" spans="1:13" ht="12.3">
      <c r="A135" s="34"/>
      <c r="B135" s="34"/>
      <c r="C135" s="34"/>
      <c r="D135" s="34"/>
      <c r="M135" s="10"/>
    </row>
    <row r="136" spans="1:13" ht="12.3">
      <c r="A136" s="34"/>
      <c r="B136" s="34"/>
      <c r="C136" s="34"/>
      <c r="D136" s="34"/>
      <c r="M136" s="10"/>
    </row>
    <row r="137" spans="1:13" ht="12.3">
      <c r="A137" s="34"/>
      <c r="B137" s="34"/>
      <c r="C137" s="34"/>
      <c r="D137" s="34"/>
      <c r="M137" s="10"/>
    </row>
    <row r="138" spans="1:13" ht="12.3">
      <c r="A138" s="34"/>
      <c r="B138" s="34"/>
      <c r="C138" s="34"/>
      <c r="D138" s="34"/>
      <c r="M138" s="10"/>
    </row>
    <row r="139" spans="1:13" ht="12.3">
      <c r="A139" s="34"/>
      <c r="B139" s="34"/>
      <c r="C139" s="34"/>
      <c r="D139" s="34"/>
      <c r="M139" s="10"/>
    </row>
    <row r="140" spans="1:13" ht="12.3">
      <c r="A140" s="34"/>
      <c r="B140" s="34"/>
      <c r="C140" s="34"/>
      <c r="D140" s="34"/>
      <c r="M140" s="10"/>
    </row>
    <row r="141" spans="1:13" ht="12.3">
      <c r="A141" s="34"/>
      <c r="B141" s="34"/>
      <c r="C141" s="34"/>
      <c r="D141" s="34"/>
      <c r="M141" s="10"/>
    </row>
    <row r="142" spans="1:13" ht="12.3">
      <c r="A142" s="34"/>
      <c r="B142" s="34"/>
      <c r="C142" s="34"/>
      <c r="D142" s="34"/>
      <c r="M142" s="10"/>
    </row>
    <row r="143" spans="1:13" ht="12.3">
      <c r="A143" s="34"/>
      <c r="B143" s="34"/>
      <c r="C143" s="34"/>
      <c r="D143" s="34"/>
      <c r="M143" s="10"/>
    </row>
    <row r="144" spans="1:13" ht="12.3">
      <c r="A144" s="34"/>
      <c r="B144" s="34"/>
      <c r="C144" s="34"/>
      <c r="D144" s="34"/>
      <c r="M144" s="10"/>
    </row>
    <row r="145" spans="1:13" ht="12.3">
      <c r="A145" s="34"/>
      <c r="B145" s="34"/>
      <c r="C145" s="34"/>
      <c r="D145" s="34"/>
      <c r="M145" s="10"/>
    </row>
    <row r="146" spans="1:13" ht="12.3">
      <c r="A146" s="34"/>
      <c r="B146" s="34"/>
      <c r="C146" s="34"/>
      <c r="D146" s="34"/>
      <c r="M146" s="10"/>
    </row>
    <row r="147" spans="1:13" ht="12.3">
      <c r="A147" s="34"/>
      <c r="B147" s="34"/>
      <c r="C147" s="34"/>
      <c r="D147" s="34"/>
      <c r="M147" s="10"/>
    </row>
    <row r="148" spans="1:13" ht="12.3">
      <c r="A148" s="34"/>
      <c r="B148" s="34"/>
      <c r="C148" s="34"/>
      <c r="D148" s="34"/>
      <c r="M148" s="10"/>
    </row>
    <row r="149" spans="1:13" ht="12.3">
      <c r="A149" s="34"/>
      <c r="B149" s="34"/>
      <c r="C149" s="34"/>
      <c r="D149" s="34"/>
      <c r="M149" s="10"/>
    </row>
    <row r="150" spans="1:13" ht="12.3">
      <c r="A150" s="34"/>
      <c r="B150" s="34"/>
      <c r="C150" s="34"/>
      <c r="D150" s="34"/>
      <c r="M150" s="10"/>
    </row>
    <row r="151" spans="1:13" ht="12.3">
      <c r="A151" s="34"/>
      <c r="B151" s="34"/>
      <c r="C151" s="34"/>
      <c r="D151" s="34"/>
      <c r="M151" s="10"/>
    </row>
    <row r="152" spans="1:13" ht="12.3">
      <c r="A152" s="34"/>
      <c r="B152" s="34"/>
      <c r="C152" s="34"/>
      <c r="D152" s="34"/>
      <c r="M152" s="10"/>
    </row>
    <row r="153" spans="1:13" ht="12.3">
      <c r="A153" s="34"/>
      <c r="B153" s="34"/>
      <c r="C153" s="34"/>
      <c r="D153" s="34"/>
      <c r="M153" s="10"/>
    </row>
    <row r="154" spans="1:13" ht="12.3">
      <c r="A154" s="34"/>
      <c r="B154" s="34"/>
      <c r="C154" s="34"/>
      <c r="D154" s="34"/>
      <c r="M154" s="10"/>
    </row>
    <row r="155" spans="1:13" ht="12.3">
      <c r="A155" s="34"/>
      <c r="B155" s="34"/>
      <c r="C155" s="34"/>
      <c r="D155" s="34"/>
      <c r="M155" s="10"/>
    </row>
    <row r="156" spans="1:13" ht="12.3">
      <c r="A156" s="34"/>
      <c r="B156" s="34"/>
      <c r="C156" s="34"/>
      <c r="D156" s="34"/>
      <c r="M156" s="10"/>
    </row>
    <row r="157" spans="1:13" ht="12.3">
      <c r="A157" s="34"/>
      <c r="B157" s="34"/>
      <c r="C157" s="34"/>
      <c r="D157" s="34"/>
      <c r="M157" s="10"/>
    </row>
    <row r="158" spans="1:13" ht="12.3">
      <c r="A158" s="34"/>
      <c r="B158" s="34"/>
      <c r="C158" s="34"/>
      <c r="D158" s="34"/>
      <c r="M158" s="10"/>
    </row>
    <row r="159" spans="1:13" ht="12.3">
      <c r="A159" s="34"/>
      <c r="B159" s="34"/>
      <c r="C159" s="34"/>
      <c r="D159" s="34"/>
      <c r="M159" s="10"/>
    </row>
    <row r="160" spans="1:13" ht="12.3">
      <c r="A160" s="34"/>
      <c r="B160" s="34"/>
      <c r="C160" s="34"/>
      <c r="D160" s="34"/>
      <c r="M160" s="10"/>
    </row>
    <row r="161" spans="1:13" ht="12.3">
      <c r="A161" s="34"/>
      <c r="B161" s="34"/>
      <c r="C161" s="34"/>
      <c r="D161" s="34"/>
      <c r="M161" s="10"/>
    </row>
    <row r="162" spans="1:13" ht="12.3">
      <c r="A162" s="34"/>
      <c r="B162" s="34"/>
      <c r="C162" s="34"/>
      <c r="D162" s="34"/>
      <c r="M162" s="10"/>
    </row>
    <row r="163" spans="1:13" ht="12.3">
      <c r="A163" s="34"/>
      <c r="B163" s="34"/>
      <c r="C163" s="34"/>
      <c r="D163" s="34"/>
      <c r="M163" s="10"/>
    </row>
    <row r="164" spans="1:13" ht="12.3">
      <c r="A164" s="34"/>
      <c r="B164" s="34"/>
      <c r="C164" s="34"/>
      <c r="D164" s="34"/>
      <c r="M164" s="10"/>
    </row>
    <row r="165" spans="1:13" ht="12.3">
      <c r="A165" s="34"/>
      <c r="B165" s="34"/>
      <c r="C165" s="34"/>
      <c r="D165" s="34"/>
      <c r="M165" s="10"/>
    </row>
    <row r="166" spans="1:13" ht="12.3">
      <c r="A166" s="34"/>
      <c r="B166" s="34"/>
      <c r="C166" s="34"/>
      <c r="D166" s="34"/>
      <c r="M166" s="10"/>
    </row>
    <row r="167" spans="1:13" ht="12.3">
      <c r="A167" s="34"/>
      <c r="B167" s="34"/>
      <c r="C167" s="34"/>
      <c r="D167" s="34"/>
      <c r="M167" s="10"/>
    </row>
    <row r="168" spans="1:13" ht="12.3">
      <c r="A168" s="34"/>
      <c r="B168" s="34"/>
      <c r="C168" s="34"/>
      <c r="D168" s="34"/>
      <c r="M168" s="10"/>
    </row>
    <row r="169" spans="1:13" ht="12.3">
      <c r="A169" s="34"/>
      <c r="B169" s="34"/>
      <c r="C169" s="34"/>
      <c r="D169" s="34"/>
      <c r="M169" s="10"/>
    </row>
    <row r="170" spans="1:13" ht="12.3">
      <c r="A170" s="34"/>
      <c r="B170" s="34"/>
      <c r="C170" s="34"/>
      <c r="D170" s="34"/>
      <c r="M170" s="10"/>
    </row>
    <row r="171" spans="1:13" ht="12.3">
      <c r="A171" s="34"/>
      <c r="B171" s="34"/>
      <c r="C171" s="34"/>
      <c r="D171" s="34"/>
      <c r="M171" s="10"/>
    </row>
    <row r="172" spans="1:13" ht="12.3">
      <c r="A172" s="34"/>
      <c r="B172" s="34"/>
      <c r="C172" s="34"/>
      <c r="D172" s="34"/>
      <c r="M172" s="10"/>
    </row>
    <row r="173" spans="1:13" ht="12.3">
      <c r="A173" s="34"/>
      <c r="B173" s="34"/>
      <c r="C173" s="34"/>
      <c r="D173" s="34"/>
      <c r="M173" s="10"/>
    </row>
    <row r="174" spans="1:13" ht="12.3">
      <c r="A174" s="34"/>
      <c r="B174" s="34"/>
      <c r="C174" s="34"/>
      <c r="D174" s="34"/>
      <c r="M174" s="10"/>
    </row>
    <row r="175" spans="1:13" ht="12.3">
      <c r="A175" s="34"/>
      <c r="B175" s="34"/>
      <c r="C175" s="34"/>
      <c r="D175" s="34"/>
      <c r="M175" s="10"/>
    </row>
    <row r="176" spans="1:13" ht="12.3">
      <c r="A176" s="34"/>
      <c r="B176" s="34"/>
      <c r="C176" s="34"/>
      <c r="D176" s="34"/>
      <c r="M176" s="10"/>
    </row>
    <row r="177" spans="1:13" ht="12.3">
      <c r="A177" s="34"/>
      <c r="B177" s="34"/>
      <c r="C177" s="34"/>
      <c r="D177" s="34"/>
      <c r="M177" s="10"/>
    </row>
    <row r="178" spans="1:13" ht="12.3">
      <c r="A178" s="34"/>
      <c r="B178" s="34"/>
      <c r="C178" s="34"/>
      <c r="D178" s="34"/>
      <c r="M178" s="10"/>
    </row>
    <row r="179" spans="1:13" ht="12.3">
      <c r="A179" s="34"/>
      <c r="B179" s="34"/>
      <c r="C179" s="34"/>
      <c r="D179" s="34"/>
      <c r="M179" s="10"/>
    </row>
    <row r="180" spans="1:13" ht="12.3">
      <c r="A180" s="34"/>
      <c r="B180" s="34"/>
      <c r="C180" s="34"/>
      <c r="D180" s="34"/>
      <c r="M180" s="10"/>
    </row>
    <row r="181" spans="1:13" ht="12.3">
      <c r="A181" s="34"/>
      <c r="B181" s="34"/>
      <c r="C181" s="34"/>
      <c r="D181" s="34"/>
      <c r="M181" s="10"/>
    </row>
    <row r="182" spans="1:13" ht="12.3">
      <c r="A182" s="34"/>
      <c r="B182" s="34"/>
      <c r="C182" s="34"/>
      <c r="D182" s="34"/>
      <c r="M182" s="10"/>
    </row>
    <row r="183" spans="1:13" ht="12.3">
      <c r="A183" s="34"/>
      <c r="B183" s="34"/>
      <c r="C183" s="34"/>
      <c r="D183" s="34"/>
      <c r="M183" s="10"/>
    </row>
    <row r="184" spans="1:13" ht="12.3">
      <c r="A184" s="34"/>
      <c r="B184" s="34"/>
      <c r="C184" s="34"/>
      <c r="D184" s="34"/>
      <c r="M184" s="10"/>
    </row>
    <row r="185" spans="1:13" ht="12.3">
      <c r="A185" s="34"/>
      <c r="B185" s="34"/>
      <c r="C185" s="34"/>
      <c r="D185" s="34"/>
      <c r="M185" s="10"/>
    </row>
    <row r="186" spans="1:13" ht="12.3">
      <c r="A186" s="34"/>
      <c r="B186" s="34"/>
      <c r="C186" s="34"/>
      <c r="D186" s="34"/>
      <c r="M186" s="10"/>
    </row>
    <row r="187" spans="1:13" ht="12.3">
      <c r="A187" s="34"/>
      <c r="B187" s="34"/>
      <c r="C187" s="34"/>
      <c r="D187" s="34"/>
      <c r="M187" s="10"/>
    </row>
    <row r="188" spans="1:13" ht="12.3">
      <c r="A188" s="34"/>
      <c r="B188" s="34"/>
      <c r="C188" s="34"/>
      <c r="D188" s="34"/>
      <c r="M188" s="10"/>
    </row>
    <row r="189" spans="1:13" ht="12.3">
      <c r="A189" s="34"/>
      <c r="B189" s="34"/>
      <c r="C189" s="34"/>
      <c r="D189" s="34"/>
      <c r="M189" s="10"/>
    </row>
    <row r="190" spans="1:13" ht="12.3">
      <c r="A190" s="34"/>
      <c r="B190" s="34"/>
      <c r="C190" s="34"/>
      <c r="D190" s="34"/>
      <c r="M190" s="10"/>
    </row>
    <row r="191" spans="1:13" ht="12.3">
      <c r="A191" s="34"/>
      <c r="B191" s="34"/>
      <c r="C191" s="34"/>
      <c r="D191" s="34"/>
      <c r="M191" s="10"/>
    </row>
    <row r="192" spans="1:13" ht="12.3">
      <c r="A192" s="34"/>
      <c r="B192" s="34"/>
      <c r="C192" s="34"/>
      <c r="D192" s="34"/>
      <c r="M192" s="10"/>
    </row>
    <row r="193" spans="1:13" ht="12.3">
      <c r="A193" s="34"/>
      <c r="B193" s="34"/>
      <c r="C193" s="34"/>
      <c r="D193" s="34"/>
      <c r="M193" s="10"/>
    </row>
    <row r="194" spans="1:13" ht="12.3">
      <c r="A194" s="34"/>
      <c r="B194" s="34"/>
      <c r="C194" s="34"/>
      <c r="D194" s="34"/>
      <c r="M194" s="10"/>
    </row>
    <row r="195" spans="1:13" ht="12.3">
      <c r="A195" s="34"/>
      <c r="B195" s="34"/>
      <c r="C195" s="34"/>
      <c r="D195" s="34"/>
      <c r="M195" s="10"/>
    </row>
    <row r="196" spans="1:13" ht="12.3">
      <c r="A196" s="34"/>
      <c r="B196" s="34"/>
      <c r="C196" s="34"/>
      <c r="D196" s="34"/>
      <c r="M196" s="10"/>
    </row>
    <row r="197" spans="1:13" ht="12.3">
      <c r="A197" s="34"/>
      <c r="B197" s="34"/>
      <c r="C197" s="34"/>
      <c r="D197" s="34"/>
      <c r="M197" s="10"/>
    </row>
    <row r="198" spans="1:13" ht="12.3">
      <c r="A198" s="34"/>
      <c r="B198" s="34"/>
      <c r="C198" s="34"/>
      <c r="D198" s="34"/>
      <c r="M198" s="10"/>
    </row>
    <row r="199" spans="1:13" ht="12.3">
      <c r="A199" s="34"/>
      <c r="B199" s="34"/>
      <c r="C199" s="34"/>
      <c r="D199" s="34"/>
      <c r="M199" s="10"/>
    </row>
    <row r="200" spans="1:13" ht="12.3">
      <c r="A200" s="34"/>
      <c r="B200" s="34"/>
      <c r="C200" s="34"/>
      <c r="D200" s="34"/>
      <c r="M200" s="10"/>
    </row>
    <row r="201" spans="1:13" ht="12.3">
      <c r="A201" s="34"/>
      <c r="B201" s="34"/>
      <c r="C201" s="34"/>
      <c r="D201" s="34"/>
      <c r="M201" s="10"/>
    </row>
    <row r="202" spans="1:13" ht="12.3">
      <c r="A202" s="34"/>
      <c r="B202" s="34"/>
      <c r="C202" s="34"/>
      <c r="D202" s="34"/>
      <c r="M202" s="10"/>
    </row>
    <row r="203" spans="1:13" ht="12.3">
      <c r="A203" s="34"/>
      <c r="B203" s="34"/>
      <c r="C203" s="34"/>
      <c r="D203" s="34"/>
      <c r="M203" s="10"/>
    </row>
    <row r="204" spans="1:13" ht="12.3">
      <c r="A204" s="34"/>
      <c r="B204" s="34"/>
      <c r="C204" s="34"/>
      <c r="D204" s="34"/>
      <c r="M204" s="10"/>
    </row>
    <row r="205" spans="1:13" ht="12.3">
      <c r="A205" s="34"/>
      <c r="B205" s="34"/>
      <c r="C205" s="34"/>
      <c r="D205" s="34"/>
      <c r="M205" s="10"/>
    </row>
    <row r="206" spans="1:13" ht="12.3">
      <c r="A206" s="34"/>
      <c r="B206" s="34"/>
      <c r="C206" s="34"/>
      <c r="D206" s="34"/>
      <c r="M206" s="10"/>
    </row>
    <row r="207" spans="1:13" ht="12.3">
      <c r="A207" s="34"/>
      <c r="B207" s="34"/>
      <c r="C207" s="34"/>
      <c r="D207" s="34"/>
      <c r="M207" s="10"/>
    </row>
    <row r="208" spans="1:13" ht="12.3">
      <c r="A208" s="34"/>
      <c r="B208" s="34"/>
      <c r="C208" s="34"/>
      <c r="D208" s="34"/>
      <c r="M208" s="10"/>
    </row>
    <row r="209" spans="1:13" ht="12.3">
      <c r="A209" s="34"/>
      <c r="B209" s="34"/>
      <c r="C209" s="34"/>
      <c r="D209" s="34"/>
      <c r="M209" s="10"/>
    </row>
    <row r="210" spans="1:13" ht="12.3">
      <c r="A210" s="34"/>
      <c r="B210" s="34"/>
      <c r="C210" s="34"/>
      <c r="D210" s="34"/>
      <c r="M210" s="10"/>
    </row>
    <row r="211" spans="1:13" ht="12.3">
      <c r="A211" s="34"/>
      <c r="B211" s="34"/>
      <c r="C211" s="34"/>
      <c r="D211" s="34"/>
      <c r="M211" s="10"/>
    </row>
    <row r="212" spans="1:13" ht="12.3">
      <c r="A212" s="34"/>
      <c r="B212" s="34"/>
      <c r="C212" s="34"/>
      <c r="D212" s="34"/>
      <c r="M212" s="10"/>
    </row>
    <row r="213" spans="1:13" ht="12.3">
      <c r="A213" s="34"/>
      <c r="B213" s="34"/>
      <c r="C213" s="34"/>
      <c r="D213" s="34"/>
      <c r="M213" s="10"/>
    </row>
    <row r="214" spans="1:13" ht="12.3">
      <c r="A214" s="34"/>
      <c r="B214" s="34"/>
      <c r="C214" s="34"/>
      <c r="D214" s="34"/>
      <c r="M214" s="10"/>
    </row>
    <row r="215" spans="1:13" ht="12.3">
      <c r="A215" s="34"/>
      <c r="B215" s="34"/>
      <c r="C215" s="34"/>
      <c r="D215" s="34"/>
      <c r="M215" s="10"/>
    </row>
    <row r="216" spans="1:13" ht="12.3">
      <c r="A216" s="34"/>
      <c r="B216" s="34"/>
      <c r="C216" s="34"/>
      <c r="D216" s="34"/>
      <c r="M216" s="10"/>
    </row>
    <row r="217" spans="1:13" ht="12.3">
      <c r="A217" s="34"/>
      <c r="B217" s="34"/>
      <c r="C217" s="34"/>
      <c r="D217" s="34"/>
      <c r="M217" s="10"/>
    </row>
    <row r="218" spans="1:13" ht="12.3">
      <c r="A218" s="34"/>
      <c r="B218" s="34"/>
      <c r="C218" s="34"/>
      <c r="D218" s="34"/>
      <c r="M218" s="10"/>
    </row>
    <row r="219" spans="1:13" ht="12.3">
      <c r="A219" s="34"/>
      <c r="B219" s="34"/>
      <c r="C219" s="34"/>
      <c r="D219" s="34"/>
      <c r="M219" s="10"/>
    </row>
    <row r="220" spans="1:13" ht="12.3">
      <c r="A220" s="34"/>
      <c r="B220" s="34"/>
      <c r="C220" s="34"/>
      <c r="D220" s="34"/>
      <c r="M220" s="10"/>
    </row>
    <row r="221" spans="1:13" ht="12.3">
      <c r="A221" s="34"/>
      <c r="B221" s="34"/>
      <c r="C221" s="34"/>
      <c r="D221" s="34"/>
      <c r="M221" s="10"/>
    </row>
    <row r="222" spans="1:13" ht="12.3">
      <c r="A222" s="34"/>
      <c r="B222" s="34"/>
      <c r="C222" s="34"/>
      <c r="D222" s="34"/>
      <c r="M222" s="10"/>
    </row>
    <row r="223" spans="1:13" ht="12.3">
      <c r="A223" s="34"/>
      <c r="B223" s="34"/>
      <c r="C223" s="34"/>
      <c r="D223" s="34"/>
      <c r="M223" s="10"/>
    </row>
    <row r="224" spans="1:13" ht="12.3">
      <c r="A224" s="34"/>
      <c r="B224" s="34"/>
      <c r="C224" s="34"/>
      <c r="D224" s="34"/>
      <c r="M224" s="10"/>
    </row>
    <row r="225" spans="1:13" ht="12.3">
      <c r="A225" s="34"/>
      <c r="B225" s="34"/>
      <c r="C225" s="34"/>
      <c r="D225" s="34"/>
      <c r="M225" s="10"/>
    </row>
    <row r="226" spans="1:13" ht="12.3">
      <c r="A226" s="34"/>
      <c r="B226" s="34"/>
      <c r="C226" s="34"/>
      <c r="D226" s="34"/>
      <c r="M226" s="10"/>
    </row>
    <row r="227" spans="1:13" ht="12.3">
      <c r="A227" s="34"/>
      <c r="B227" s="34"/>
      <c r="C227" s="34"/>
      <c r="D227" s="34"/>
      <c r="M227" s="10"/>
    </row>
    <row r="228" spans="1:13" ht="12.3">
      <c r="A228" s="34"/>
      <c r="B228" s="34"/>
      <c r="C228" s="34"/>
      <c r="D228" s="34"/>
      <c r="M228" s="10"/>
    </row>
    <row r="229" spans="1:13" ht="12.3">
      <c r="A229" s="34"/>
      <c r="B229" s="34"/>
      <c r="C229" s="34"/>
      <c r="D229" s="34"/>
      <c r="M229" s="10"/>
    </row>
    <row r="230" spans="1:13" ht="12.3">
      <c r="A230" s="34"/>
      <c r="B230" s="34"/>
      <c r="C230" s="34"/>
      <c r="D230" s="34"/>
      <c r="M230" s="10"/>
    </row>
    <row r="231" spans="1:13" ht="12.3">
      <c r="A231" s="34"/>
      <c r="B231" s="34"/>
      <c r="C231" s="34"/>
      <c r="D231" s="34"/>
      <c r="M231" s="10"/>
    </row>
    <row r="232" spans="1:13" ht="12.3">
      <c r="A232" s="34"/>
      <c r="B232" s="34"/>
      <c r="C232" s="34"/>
      <c r="D232" s="34"/>
      <c r="M232" s="10"/>
    </row>
    <row r="233" spans="1:13" ht="12.3">
      <c r="A233" s="34"/>
      <c r="B233" s="34"/>
      <c r="C233" s="34"/>
      <c r="D233" s="34"/>
      <c r="M233" s="10"/>
    </row>
    <row r="234" spans="1:13" ht="12.3">
      <c r="A234" s="34"/>
      <c r="B234" s="34"/>
      <c r="C234" s="34"/>
      <c r="D234" s="34"/>
      <c r="M234" s="10"/>
    </row>
    <row r="235" spans="1:13" ht="12.3">
      <c r="A235" s="34"/>
      <c r="B235" s="34"/>
      <c r="C235" s="34"/>
      <c r="D235" s="34"/>
      <c r="M235" s="10"/>
    </row>
    <row r="236" spans="1:13" ht="12.3">
      <c r="A236" s="34"/>
      <c r="B236" s="34"/>
      <c r="C236" s="34"/>
      <c r="D236" s="34"/>
      <c r="M236" s="10"/>
    </row>
    <row r="237" spans="1:13" ht="12.3">
      <c r="A237" s="34"/>
      <c r="B237" s="34"/>
      <c r="C237" s="34"/>
      <c r="D237" s="34"/>
      <c r="M237" s="10"/>
    </row>
    <row r="238" spans="1:13" ht="12.3">
      <c r="A238" s="34"/>
      <c r="B238" s="34"/>
      <c r="C238" s="34"/>
      <c r="D238" s="34"/>
      <c r="M238" s="10"/>
    </row>
    <row r="239" spans="1:13" ht="12.3">
      <c r="A239" s="34"/>
      <c r="B239" s="34"/>
      <c r="C239" s="34"/>
      <c r="D239" s="34"/>
      <c r="M239" s="10"/>
    </row>
    <row r="240" spans="1:13" ht="12.3">
      <c r="A240" s="34"/>
      <c r="B240" s="34"/>
      <c r="C240" s="34"/>
      <c r="D240" s="34"/>
      <c r="M240" s="10"/>
    </row>
    <row r="241" spans="1:13" ht="12.3">
      <c r="A241" s="34"/>
      <c r="B241" s="34"/>
      <c r="C241" s="34"/>
      <c r="D241" s="34"/>
      <c r="M241" s="10"/>
    </row>
    <row r="242" spans="1:13" ht="12.3">
      <c r="A242" s="34"/>
      <c r="B242" s="34"/>
      <c r="C242" s="34"/>
      <c r="D242" s="34"/>
      <c r="M242" s="10"/>
    </row>
    <row r="243" spans="1:13" ht="12.3">
      <c r="A243" s="34"/>
      <c r="B243" s="34"/>
      <c r="C243" s="34"/>
      <c r="D243" s="34"/>
      <c r="M243" s="10"/>
    </row>
    <row r="244" spans="1:13" ht="12.3">
      <c r="A244" s="34"/>
      <c r="B244" s="34"/>
      <c r="C244" s="34"/>
      <c r="D244" s="34"/>
      <c r="M244" s="10"/>
    </row>
    <row r="245" spans="1:13" ht="12.3">
      <c r="A245" s="34"/>
      <c r="B245" s="34"/>
      <c r="C245" s="34"/>
      <c r="D245" s="34"/>
      <c r="M245" s="10"/>
    </row>
    <row r="246" spans="1:13" ht="12.3">
      <c r="A246" s="34"/>
      <c r="B246" s="34"/>
      <c r="C246" s="34"/>
      <c r="D246" s="34"/>
      <c r="M246" s="10"/>
    </row>
    <row r="247" spans="1:13" ht="12.3">
      <c r="A247" s="34"/>
      <c r="B247" s="34"/>
      <c r="C247" s="34"/>
      <c r="D247" s="34"/>
      <c r="M247" s="10"/>
    </row>
    <row r="248" spans="1:13" ht="12.3">
      <c r="A248" s="34"/>
      <c r="B248" s="34"/>
      <c r="C248" s="34"/>
      <c r="D248" s="34"/>
      <c r="M248" s="10"/>
    </row>
    <row r="249" spans="1:13" ht="12.3">
      <c r="A249" s="34"/>
      <c r="B249" s="34"/>
      <c r="C249" s="34"/>
      <c r="D249" s="34"/>
      <c r="M249" s="10"/>
    </row>
    <row r="250" spans="1:13" ht="12.3">
      <c r="A250" s="34"/>
      <c r="B250" s="34"/>
      <c r="C250" s="34"/>
      <c r="D250" s="34"/>
      <c r="M250" s="10"/>
    </row>
    <row r="251" spans="1:13" ht="12.3">
      <c r="A251" s="34"/>
      <c r="B251" s="34"/>
      <c r="C251" s="34"/>
      <c r="D251" s="34"/>
      <c r="M251" s="10"/>
    </row>
    <row r="252" spans="1:13" ht="12.3">
      <c r="A252" s="34"/>
      <c r="B252" s="34"/>
      <c r="C252" s="34"/>
      <c r="D252" s="34"/>
      <c r="M252" s="10"/>
    </row>
    <row r="253" spans="1:13" ht="12.3">
      <c r="A253" s="34"/>
      <c r="B253" s="34"/>
      <c r="C253" s="34"/>
      <c r="D253" s="34"/>
      <c r="M253" s="10"/>
    </row>
    <row r="254" spans="1:13" ht="12.3">
      <c r="A254" s="34"/>
      <c r="B254" s="34"/>
      <c r="C254" s="34"/>
      <c r="D254" s="34"/>
      <c r="M254" s="10"/>
    </row>
    <row r="255" spans="1:13" ht="12.3">
      <c r="A255" s="34"/>
      <c r="B255" s="34"/>
      <c r="C255" s="34"/>
      <c r="D255" s="34"/>
      <c r="M255" s="10"/>
    </row>
    <row r="256" spans="1:13" ht="12.3">
      <c r="A256" s="34"/>
      <c r="B256" s="34"/>
      <c r="C256" s="34"/>
      <c r="D256" s="34"/>
      <c r="M256" s="10"/>
    </row>
    <row r="257" spans="1:13" ht="12.3">
      <c r="A257" s="34"/>
      <c r="B257" s="34"/>
      <c r="C257" s="34"/>
      <c r="D257" s="34"/>
      <c r="M257" s="10"/>
    </row>
    <row r="258" spans="1:13" ht="12.3">
      <c r="A258" s="34"/>
      <c r="B258" s="34"/>
      <c r="C258" s="34"/>
      <c r="D258" s="34"/>
      <c r="M258" s="10"/>
    </row>
    <row r="259" spans="1:13" ht="12.3">
      <c r="A259" s="34"/>
      <c r="B259" s="34"/>
      <c r="C259" s="34"/>
      <c r="D259" s="34"/>
      <c r="M259" s="10"/>
    </row>
    <row r="260" spans="1:13" ht="12.3">
      <c r="A260" s="34"/>
      <c r="B260" s="34"/>
      <c r="C260" s="34"/>
      <c r="D260" s="34"/>
      <c r="M260" s="10"/>
    </row>
    <row r="261" spans="1:13" ht="12.3">
      <c r="A261" s="34"/>
      <c r="B261" s="34"/>
      <c r="C261" s="34"/>
      <c r="D261" s="34"/>
      <c r="M261" s="10"/>
    </row>
    <row r="262" spans="1:13" ht="12.3">
      <c r="A262" s="34"/>
      <c r="B262" s="34"/>
      <c r="C262" s="34"/>
      <c r="D262" s="34"/>
      <c r="M262" s="10"/>
    </row>
    <row r="263" spans="1:13" ht="12.3">
      <c r="A263" s="34"/>
      <c r="B263" s="34"/>
      <c r="C263" s="34"/>
      <c r="D263" s="34"/>
      <c r="M263" s="10"/>
    </row>
    <row r="264" spans="1:13" ht="12.3">
      <c r="A264" s="34"/>
      <c r="B264" s="34"/>
      <c r="C264" s="34"/>
      <c r="D264" s="34"/>
      <c r="M264" s="10"/>
    </row>
    <row r="265" spans="1:13" ht="12.3">
      <c r="A265" s="34"/>
      <c r="B265" s="34"/>
      <c r="C265" s="34"/>
      <c r="D265" s="34"/>
      <c r="M265" s="10"/>
    </row>
    <row r="266" spans="1:13" ht="12.3">
      <c r="A266" s="34"/>
      <c r="B266" s="34"/>
      <c r="C266" s="34"/>
      <c r="D266" s="34"/>
      <c r="M266" s="10"/>
    </row>
    <row r="267" spans="1:13" ht="12.3">
      <c r="A267" s="34"/>
      <c r="B267" s="34"/>
      <c r="C267" s="34"/>
      <c r="D267" s="34"/>
      <c r="M267" s="10"/>
    </row>
    <row r="268" spans="1:13" ht="12.3">
      <c r="A268" s="34"/>
      <c r="B268" s="34"/>
      <c r="C268" s="34"/>
      <c r="D268" s="34"/>
      <c r="M268" s="10"/>
    </row>
    <row r="269" spans="1:13" ht="12.3">
      <c r="A269" s="34"/>
      <c r="B269" s="34"/>
      <c r="C269" s="34"/>
      <c r="D269" s="34"/>
      <c r="M269" s="10"/>
    </row>
    <row r="270" spans="1:13" ht="12.3">
      <c r="A270" s="34"/>
      <c r="B270" s="34"/>
      <c r="C270" s="34"/>
      <c r="D270" s="34"/>
      <c r="M270" s="10"/>
    </row>
    <row r="271" spans="1:13" ht="12.3">
      <c r="A271" s="34"/>
      <c r="B271" s="34"/>
      <c r="C271" s="34"/>
      <c r="D271" s="34"/>
      <c r="M271" s="10"/>
    </row>
    <row r="272" spans="1:13" ht="12.3">
      <c r="A272" s="34"/>
      <c r="B272" s="34"/>
      <c r="C272" s="34"/>
      <c r="D272" s="34"/>
      <c r="M272" s="10"/>
    </row>
    <row r="273" spans="1:13" ht="12.3">
      <c r="A273" s="34"/>
      <c r="B273" s="34"/>
      <c r="C273" s="34"/>
      <c r="D273" s="34"/>
      <c r="M273" s="10"/>
    </row>
    <row r="274" spans="1:13" ht="12.3">
      <c r="A274" s="34"/>
      <c r="B274" s="34"/>
      <c r="C274" s="34"/>
      <c r="D274" s="34"/>
      <c r="M274" s="10"/>
    </row>
    <row r="275" spans="1:13" ht="12.3">
      <c r="A275" s="34"/>
      <c r="B275" s="34"/>
      <c r="C275" s="34"/>
      <c r="D275" s="34"/>
      <c r="M275" s="10"/>
    </row>
    <row r="276" spans="1:13" ht="12.3">
      <c r="A276" s="34"/>
      <c r="B276" s="34"/>
      <c r="C276" s="34"/>
      <c r="D276" s="34"/>
      <c r="M276" s="10"/>
    </row>
    <row r="277" spans="1:13" ht="12.3">
      <c r="A277" s="34"/>
      <c r="B277" s="34"/>
      <c r="C277" s="34"/>
      <c r="D277" s="34"/>
      <c r="M277" s="10"/>
    </row>
    <row r="278" spans="1:13" ht="12.3">
      <c r="A278" s="34"/>
      <c r="B278" s="34"/>
      <c r="C278" s="34"/>
      <c r="D278" s="34"/>
      <c r="M278" s="10"/>
    </row>
    <row r="279" spans="1:13" ht="12.3">
      <c r="A279" s="34"/>
      <c r="B279" s="34"/>
      <c r="C279" s="34"/>
      <c r="D279" s="34"/>
      <c r="M279" s="10"/>
    </row>
    <row r="280" spans="1:13" ht="12.3">
      <c r="A280" s="34"/>
      <c r="B280" s="34"/>
      <c r="C280" s="34"/>
      <c r="D280" s="34"/>
      <c r="M280" s="10"/>
    </row>
    <row r="281" spans="1:13" ht="12.3">
      <c r="A281" s="34"/>
      <c r="B281" s="34"/>
      <c r="C281" s="34"/>
      <c r="D281" s="34"/>
      <c r="M281" s="10"/>
    </row>
    <row r="282" spans="1:13" ht="12.3">
      <c r="A282" s="34"/>
      <c r="B282" s="34"/>
      <c r="C282" s="34"/>
      <c r="D282" s="34"/>
      <c r="M282" s="10"/>
    </row>
    <row r="283" spans="1:13" ht="12.3">
      <c r="A283" s="34"/>
      <c r="B283" s="34"/>
      <c r="C283" s="34"/>
      <c r="D283" s="34"/>
      <c r="M283" s="10"/>
    </row>
    <row r="284" spans="1:13" ht="12.3">
      <c r="A284" s="34"/>
      <c r="B284" s="34"/>
      <c r="C284" s="34"/>
      <c r="D284" s="34"/>
      <c r="M284" s="10"/>
    </row>
    <row r="285" spans="1:13" ht="12.3">
      <c r="A285" s="34"/>
      <c r="B285" s="34"/>
      <c r="C285" s="34"/>
      <c r="D285" s="34"/>
      <c r="M285" s="10"/>
    </row>
    <row r="286" spans="1:13" ht="12.3">
      <c r="A286" s="34"/>
      <c r="B286" s="34"/>
      <c r="C286" s="34"/>
      <c r="D286" s="34"/>
      <c r="M286" s="10"/>
    </row>
    <row r="287" spans="1:13" ht="12.3">
      <c r="A287" s="34"/>
      <c r="B287" s="34"/>
      <c r="C287" s="34"/>
      <c r="D287" s="34"/>
      <c r="M287" s="10"/>
    </row>
    <row r="288" spans="1:13" ht="12.3">
      <c r="A288" s="34"/>
      <c r="B288" s="34"/>
      <c r="C288" s="34"/>
      <c r="D288" s="34"/>
      <c r="M288" s="10"/>
    </row>
    <row r="289" spans="1:13" ht="12.3">
      <c r="A289" s="34"/>
      <c r="B289" s="34"/>
      <c r="C289" s="34"/>
      <c r="D289" s="34"/>
      <c r="M289" s="10"/>
    </row>
    <row r="290" spans="1:13" ht="12.3">
      <c r="A290" s="34"/>
      <c r="B290" s="34"/>
      <c r="C290" s="34"/>
      <c r="D290" s="34"/>
      <c r="M290" s="10"/>
    </row>
    <row r="291" spans="1:13" ht="12.3">
      <c r="A291" s="34"/>
      <c r="B291" s="34"/>
      <c r="C291" s="34"/>
      <c r="D291" s="34"/>
      <c r="M291" s="10"/>
    </row>
    <row r="292" spans="1:13" ht="12.3">
      <c r="A292" s="34"/>
      <c r="B292" s="34"/>
      <c r="C292" s="34"/>
      <c r="D292" s="34"/>
      <c r="M292" s="10"/>
    </row>
    <row r="293" spans="1:13" ht="12.3">
      <c r="A293" s="34"/>
      <c r="B293" s="34"/>
      <c r="C293" s="34"/>
      <c r="D293" s="34"/>
      <c r="M293" s="10"/>
    </row>
    <row r="294" spans="1:13" ht="12.3">
      <c r="A294" s="34"/>
      <c r="B294" s="34"/>
      <c r="C294" s="34"/>
      <c r="D294" s="34"/>
      <c r="M294" s="10"/>
    </row>
    <row r="295" spans="1:13" ht="12.3">
      <c r="A295" s="34"/>
      <c r="B295" s="34"/>
      <c r="C295" s="34"/>
      <c r="D295" s="34"/>
      <c r="M295" s="10"/>
    </row>
    <row r="296" spans="1:13" ht="12.3">
      <c r="A296" s="34"/>
      <c r="B296" s="34"/>
      <c r="C296" s="34"/>
      <c r="D296" s="34"/>
      <c r="M296" s="10"/>
    </row>
    <row r="297" spans="1:13" ht="12.3">
      <c r="A297" s="34"/>
      <c r="B297" s="34"/>
      <c r="C297" s="34"/>
      <c r="D297" s="34"/>
      <c r="M297" s="10"/>
    </row>
    <row r="298" spans="1:13" ht="12.3">
      <c r="A298" s="34"/>
      <c r="B298" s="34"/>
      <c r="C298" s="34"/>
      <c r="D298" s="34"/>
      <c r="M298" s="10"/>
    </row>
    <row r="299" spans="1:13" ht="12.3">
      <c r="A299" s="34"/>
      <c r="B299" s="34"/>
      <c r="C299" s="34"/>
      <c r="D299" s="34"/>
      <c r="M299" s="10"/>
    </row>
    <row r="300" spans="1:13" ht="12.3">
      <c r="A300" s="34"/>
      <c r="B300" s="34"/>
      <c r="C300" s="34"/>
      <c r="D300" s="34"/>
      <c r="M300" s="10"/>
    </row>
    <row r="301" spans="1:13" ht="12.3">
      <c r="A301" s="34"/>
      <c r="B301" s="34"/>
      <c r="C301" s="34"/>
      <c r="D301" s="34"/>
      <c r="M301" s="10"/>
    </row>
    <row r="302" spans="1:13" ht="12.3">
      <c r="A302" s="34"/>
      <c r="B302" s="34"/>
      <c r="C302" s="34"/>
      <c r="D302" s="34"/>
      <c r="M302" s="10"/>
    </row>
    <row r="303" spans="1:13" ht="12.3">
      <c r="A303" s="34"/>
      <c r="B303" s="34"/>
      <c r="C303" s="34"/>
      <c r="D303" s="34"/>
      <c r="M303" s="10"/>
    </row>
    <row r="304" spans="1:13" ht="12.3">
      <c r="A304" s="34"/>
      <c r="B304" s="34"/>
      <c r="C304" s="34"/>
      <c r="D304" s="34"/>
      <c r="M304" s="10"/>
    </row>
    <row r="305" spans="1:13" ht="12.3">
      <c r="A305" s="34"/>
      <c r="B305" s="34"/>
      <c r="C305" s="34"/>
      <c r="D305" s="34"/>
      <c r="M305" s="10"/>
    </row>
    <row r="306" spans="1:13" ht="12.3">
      <c r="A306" s="34"/>
      <c r="B306" s="34"/>
      <c r="C306" s="34"/>
      <c r="D306" s="34"/>
      <c r="M306" s="10"/>
    </row>
    <row r="307" spans="1:13" ht="12.3">
      <c r="A307" s="34"/>
      <c r="B307" s="34"/>
      <c r="C307" s="34"/>
      <c r="D307" s="34"/>
      <c r="M307" s="10"/>
    </row>
    <row r="308" spans="1:13" ht="12.3">
      <c r="A308" s="34"/>
      <c r="B308" s="34"/>
      <c r="C308" s="34"/>
      <c r="D308" s="34"/>
      <c r="M308" s="10"/>
    </row>
    <row r="309" spans="1:13" ht="12.3">
      <c r="A309" s="34"/>
      <c r="B309" s="34"/>
      <c r="C309" s="34"/>
      <c r="D309" s="34"/>
      <c r="M309" s="10"/>
    </row>
    <row r="310" spans="1:13" ht="12.3">
      <c r="A310" s="34"/>
      <c r="B310" s="34"/>
      <c r="C310" s="34"/>
      <c r="D310" s="34"/>
      <c r="M310" s="10"/>
    </row>
    <row r="311" spans="1:13" ht="12.3">
      <c r="A311" s="34"/>
      <c r="B311" s="34"/>
      <c r="C311" s="34"/>
      <c r="D311" s="34"/>
      <c r="M311" s="10"/>
    </row>
    <row r="312" spans="1:13" ht="12.3">
      <c r="A312" s="34"/>
      <c r="B312" s="34"/>
      <c r="C312" s="34"/>
      <c r="D312" s="34"/>
      <c r="M312" s="10"/>
    </row>
    <row r="313" spans="1:13" ht="12.3">
      <c r="A313" s="34"/>
      <c r="B313" s="34"/>
      <c r="C313" s="34"/>
      <c r="D313" s="34"/>
      <c r="M313" s="10"/>
    </row>
    <row r="314" spans="1:13" ht="12.3">
      <c r="A314" s="34"/>
      <c r="B314" s="34"/>
      <c r="C314" s="34"/>
      <c r="D314" s="34"/>
      <c r="M314" s="10"/>
    </row>
    <row r="315" spans="1:13" ht="12.3">
      <c r="A315" s="34"/>
      <c r="B315" s="34"/>
      <c r="C315" s="34"/>
      <c r="D315" s="34"/>
      <c r="M315" s="10"/>
    </row>
    <row r="316" spans="1:13" ht="12.3">
      <c r="A316" s="34"/>
      <c r="B316" s="34"/>
      <c r="C316" s="34"/>
      <c r="D316" s="34"/>
      <c r="M316" s="10"/>
    </row>
    <row r="317" spans="1:13" ht="12.3">
      <c r="A317" s="34"/>
      <c r="B317" s="34"/>
      <c r="C317" s="34"/>
      <c r="D317" s="34"/>
      <c r="M317" s="10"/>
    </row>
    <row r="318" spans="1:13" ht="12.3">
      <c r="A318" s="34"/>
      <c r="B318" s="34"/>
      <c r="C318" s="34"/>
      <c r="D318" s="34"/>
      <c r="M318" s="10"/>
    </row>
    <row r="319" spans="1:13" ht="12.3">
      <c r="A319" s="34"/>
      <c r="B319" s="34"/>
      <c r="C319" s="34"/>
      <c r="D319" s="34"/>
      <c r="M319" s="10"/>
    </row>
    <row r="320" spans="1:13" ht="12.3">
      <c r="A320" s="34"/>
      <c r="B320" s="34"/>
      <c r="C320" s="34"/>
      <c r="D320" s="34"/>
      <c r="M320" s="10"/>
    </row>
    <row r="321" spans="1:13" ht="12.3">
      <c r="A321" s="34"/>
      <c r="B321" s="34"/>
      <c r="C321" s="34"/>
      <c r="D321" s="34"/>
      <c r="M321" s="10"/>
    </row>
    <row r="322" spans="1:13" ht="12.3">
      <c r="A322" s="34"/>
      <c r="B322" s="34"/>
      <c r="C322" s="34"/>
      <c r="D322" s="34"/>
      <c r="M322" s="10"/>
    </row>
    <row r="323" spans="1:13" ht="12.3">
      <c r="A323" s="34"/>
      <c r="B323" s="34"/>
      <c r="C323" s="34"/>
      <c r="D323" s="34"/>
      <c r="M323" s="10"/>
    </row>
    <row r="324" spans="1:13" ht="12.3">
      <c r="A324" s="34"/>
      <c r="B324" s="34"/>
      <c r="C324" s="34"/>
      <c r="D324" s="34"/>
      <c r="M324" s="10"/>
    </row>
    <row r="325" spans="1:13" ht="12.3">
      <c r="A325" s="34"/>
      <c r="B325" s="34"/>
      <c r="C325" s="34"/>
      <c r="D325" s="34"/>
      <c r="M325" s="10"/>
    </row>
    <row r="326" spans="1:13" ht="12.3">
      <c r="A326" s="34"/>
      <c r="B326" s="34"/>
      <c r="C326" s="34"/>
      <c r="D326" s="34"/>
      <c r="M326" s="10"/>
    </row>
    <row r="327" spans="1:13" ht="12.3">
      <c r="A327" s="34"/>
      <c r="B327" s="34"/>
      <c r="C327" s="34"/>
      <c r="D327" s="34"/>
      <c r="M327" s="10"/>
    </row>
    <row r="328" spans="1:13" ht="12.3">
      <c r="A328" s="34"/>
      <c r="B328" s="34"/>
      <c r="C328" s="34"/>
      <c r="D328" s="34"/>
      <c r="M328" s="10"/>
    </row>
    <row r="329" spans="1:13" ht="12.3">
      <c r="A329" s="34"/>
      <c r="B329" s="34"/>
      <c r="C329" s="34"/>
      <c r="D329" s="34"/>
      <c r="M329" s="10"/>
    </row>
    <row r="330" spans="1:13" ht="12.3">
      <c r="A330" s="34"/>
      <c r="B330" s="34"/>
      <c r="C330" s="34"/>
      <c r="D330" s="34"/>
      <c r="M330" s="10"/>
    </row>
    <row r="331" spans="1:13" ht="12.3">
      <c r="A331" s="34"/>
      <c r="B331" s="34"/>
      <c r="C331" s="34"/>
      <c r="D331" s="34"/>
      <c r="M331" s="10"/>
    </row>
    <row r="332" spans="1:13" ht="12.3">
      <c r="A332" s="34"/>
      <c r="B332" s="34"/>
      <c r="C332" s="34"/>
      <c r="D332" s="34"/>
      <c r="M332" s="10"/>
    </row>
    <row r="333" spans="1:13" ht="12.3">
      <c r="A333" s="34"/>
      <c r="B333" s="34"/>
      <c r="C333" s="34"/>
      <c r="D333" s="34"/>
      <c r="M333" s="10"/>
    </row>
    <row r="334" spans="1:13" ht="12.3">
      <c r="A334" s="34"/>
      <c r="B334" s="34"/>
      <c r="C334" s="34"/>
      <c r="D334" s="34"/>
      <c r="M334" s="10"/>
    </row>
    <row r="335" spans="1:13" ht="12.3">
      <c r="A335" s="34"/>
      <c r="B335" s="34"/>
      <c r="C335" s="34"/>
      <c r="D335" s="34"/>
      <c r="M335" s="10"/>
    </row>
    <row r="336" spans="1:13" ht="12.3">
      <c r="A336" s="34"/>
      <c r="B336" s="34"/>
      <c r="C336" s="34"/>
      <c r="D336" s="34"/>
      <c r="M336" s="10"/>
    </row>
    <row r="337" spans="1:13" ht="12.3">
      <c r="A337" s="34"/>
      <c r="B337" s="34"/>
      <c r="C337" s="34"/>
      <c r="D337" s="34"/>
      <c r="M337" s="10"/>
    </row>
    <row r="338" spans="1:13" ht="12.3">
      <c r="A338" s="34"/>
      <c r="B338" s="34"/>
      <c r="C338" s="34"/>
      <c r="D338" s="34"/>
      <c r="M338" s="10"/>
    </row>
    <row r="339" spans="1:13" ht="12.3">
      <c r="A339" s="34"/>
      <c r="B339" s="34"/>
      <c r="C339" s="34"/>
      <c r="D339" s="34"/>
      <c r="M339" s="10"/>
    </row>
    <row r="340" spans="1:13" ht="12.3">
      <c r="A340" s="34"/>
      <c r="B340" s="34"/>
      <c r="C340" s="34"/>
      <c r="D340" s="34"/>
      <c r="M340" s="10"/>
    </row>
    <row r="341" spans="1:13" ht="12.3">
      <c r="A341" s="34"/>
      <c r="B341" s="34"/>
      <c r="C341" s="34"/>
      <c r="D341" s="34"/>
      <c r="M341" s="10"/>
    </row>
    <row r="342" spans="1:13" ht="12.3">
      <c r="A342" s="34"/>
      <c r="B342" s="34"/>
      <c r="C342" s="34"/>
      <c r="D342" s="34"/>
      <c r="M342" s="10"/>
    </row>
    <row r="343" spans="1:13" ht="12.3">
      <c r="A343" s="34"/>
      <c r="B343" s="34"/>
      <c r="C343" s="34"/>
      <c r="D343" s="34"/>
      <c r="M343" s="10"/>
    </row>
    <row r="344" spans="1:13" ht="12.3">
      <c r="A344" s="34"/>
      <c r="B344" s="34"/>
      <c r="C344" s="34"/>
      <c r="D344" s="34"/>
      <c r="M344" s="10"/>
    </row>
    <row r="345" spans="1:13" ht="12.3">
      <c r="A345" s="34"/>
      <c r="B345" s="34"/>
      <c r="C345" s="34"/>
      <c r="D345" s="34"/>
      <c r="M345" s="10"/>
    </row>
    <row r="346" spans="1:13" ht="12.3">
      <c r="A346" s="34"/>
      <c r="B346" s="34"/>
      <c r="C346" s="34"/>
      <c r="D346" s="34"/>
      <c r="M346" s="10"/>
    </row>
    <row r="347" spans="1:13" ht="12.3">
      <c r="A347" s="34"/>
      <c r="B347" s="34"/>
      <c r="C347" s="34"/>
      <c r="D347" s="34"/>
      <c r="M347" s="10"/>
    </row>
    <row r="348" spans="1:13" ht="12.3">
      <c r="A348" s="34"/>
      <c r="B348" s="34"/>
      <c r="C348" s="34"/>
      <c r="D348" s="34"/>
      <c r="M348" s="10"/>
    </row>
    <row r="349" spans="1:13" ht="12.3">
      <c r="A349" s="34"/>
      <c r="B349" s="34"/>
      <c r="C349" s="34"/>
      <c r="D349" s="34"/>
      <c r="M349" s="10"/>
    </row>
    <row r="350" spans="1:13" ht="12.3">
      <c r="A350" s="34"/>
      <c r="B350" s="34"/>
      <c r="C350" s="34"/>
      <c r="D350" s="34"/>
      <c r="M350" s="10"/>
    </row>
    <row r="351" spans="1:13" ht="12.3">
      <c r="A351" s="34"/>
      <c r="B351" s="34"/>
      <c r="C351" s="34"/>
      <c r="D351" s="34"/>
      <c r="M351" s="10"/>
    </row>
    <row r="352" spans="1:13" ht="12.3">
      <c r="A352" s="34"/>
      <c r="B352" s="34"/>
      <c r="C352" s="34"/>
      <c r="D352" s="34"/>
      <c r="M352" s="10"/>
    </row>
    <row r="353" spans="1:13" ht="12.3">
      <c r="A353" s="34"/>
      <c r="B353" s="34"/>
      <c r="C353" s="34"/>
      <c r="D353" s="34"/>
      <c r="M353" s="10"/>
    </row>
    <row r="354" spans="1:13" ht="12.3">
      <c r="A354" s="34"/>
      <c r="B354" s="34"/>
      <c r="C354" s="34"/>
      <c r="D354" s="34"/>
      <c r="M354" s="10"/>
    </row>
    <row r="355" spans="1:13" ht="12.3">
      <c r="A355" s="34"/>
      <c r="B355" s="34"/>
      <c r="C355" s="34"/>
      <c r="D355" s="34"/>
      <c r="M355" s="10"/>
    </row>
    <row r="356" spans="1:13" ht="12.3">
      <c r="A356" s="34"/>
      <c r="B356" s="34"/>
      <c r="C356" s="34"/>
      <c r="D356" s="34"/>
      <c r="M356" s="10"/>
    </row>
    <row r="357" spans="1:13" ht="12.3">
      <c r="A357" s="34"/>
      <c r="B357" s="34"/>
      <c r="C357" s="34"/>
      <c r="D357" s="34"/>
      <c r="M357" s="10"/>
    </row>
    <row r="358" spans="1:13" ht="12.3">
      <c r="A358" s="34"/>
      <c r="B358" s="34"/>
      <c r="C358" s="34"/>
      <c r="D358" s="34"/>
      <c r="M358" s="10"/>
    </row>
    <row r="359" spans="1:13" ht="12.3">
      <c r="A359" s="34"/>
      <c r="B359" s="34"/>
      <c r="C359" s="34"/>
      <c r="D359" s="34"/>
      <c r="M359" s="10"/>
    </row>
    <row r="360" spans="1:13" ht="12.3">
      <c r="A360" s="34"/>
      <c r="B360" s="34"/>
      <c r="C360" s="34"/>
      <c r="D360" s="34"/>
      <c r="M360" s="10"/>
    </row>
    <row r="361" spans="1:13" ht="12.3">
      <c r="A361" s="34"/>
      <c r="B361" s="34"/>
      <c r="C361" s="34"/>
      <c r="D361" s="34"/>
      <c r="M361" s="10"/>
    </row>
    <row r="362" spans="1:13" ht="12.3">
      <c r="A362" s="34"/>
      <c r="B362" s="34"/>
      <c r="C362" s="34"/>
      <c r="D362" s="34"/>
      <c r="M362" s="10"/>
    </row>
    <row r="363" spans="1:13" ht="12.3">
      <c r="A363" s="34"/>
      <c r="B363" s="34"/>
      <c r="C363" s="34"/>
      <c r="D363" s="34"/>
      <c r="M363" s="10"/>
    </row>
    <row r="364" spans="1:13" ht="12.3">
      <c r="A364" s="34"/>
      <c r="B364" s="34"/>
      <c r="C364" s="34"/>
      <c r="D364" s="34"/>
      <c r="M364" s="10"/>
    </row>
    <row r="365" spans="1:13" ht="12.3">
      <c r="A365" s="34"/>
      <c r="B365" s="34"/>
      <c r="C365" s="34"/>
      <c r="D365" s="34"/>
      <c r="M365" s="10"/>
    </row>
    <row r="366" spans="1:13" ht="12.3">
      <c r="A366" s="34"/>
      <c r="B366" s="34"/>
      <c r="C366" s="34"/>
      <c r="D366" s="34"/>
      <c r="M366" s="10"/>
    </row>
    <row r="367" spans="1:13" ht="12.3">
      <c r="A367" s="34"/>
      <c r="B367" s="34"/>
      <c r="C367" s="34"/>
      <c r="D367" s="34"/>
      <c r="M367" s="10"/>
    </row>
    <row r="368" spans="1:13" ht="12.3">
      <c r="A368" s="34"/>
      <c r="B368" s="34"/>
      <c r="C368" s="34"/>
      <c r="D368" s="34"/>
      <c r="M368" s="10"/>
    </row>
    <row r="369" spans="1:13" ht="12.3">
      <c r="A369" s="34"/>
      <c r="B369" s="34"/>
      <c r="C369" s="34"/>
      <c r="D369" s="34"/>
      <c r="M369" s="10"/>
    </row>
    <row r="370" spans="1:13" ht="12.3">
      <c r="A370" s="34"/>
      <c r="B370" s="34"/>
      <c r="C370" s="34"/>
      <c r="D370" s="34"/>
      <c r="M370" s="10"/>
    </row>
    <row r="371" spans="1:13" ht="12.3">
      <c r="A371" s="34"/>
      <c r="B371" s="34"/>
      <c r="C371" s="34"/>
      <c r="D371" s="34"/>
      <c r="M371" s="10"/>
    </row>
    <row r="372" spans="1:13" ht="12.3">
      <c r="A372" s="34"/>
      <c r="B372" s="34"/>
      <c r="C372" s="34"/>
      <c r="D372" s="34"/>
      <c r="M372" s="10"/>
    </row>
    <row r="373" spans="1:13" ht="12.3">
      <c r="A373" s="34"/>
      <c r="B373" s="34"/>
      <c r="C373" s="34"/>
      <c r="D373" s="34"/>
      <c r="M373" s="10"/>
    </row>
    <row r="374" spans="1:13" ht="12.3">
      <c r="A374" s="34"/>
      <c r="B374" s="34"/>
      <c r="C374" s="34"/>
      <c r="D374" s="34"/>
      <c r="M374" s="10"/>
    </row>
    <row r="375" spans="1:13" ht="12.3">
      <c r="A375" s="34"/>
      <c r="B375" s="34"/>
      <c r="C375" s="34"/>
      <c r="D375" s="34"/>
      <c r="M375" s="10"/>
    </row>
    <row r="376" spans="1:13" ht="12.3">
      <c r="A376" s="34"/>
      <c r="B376" s="34"/>
      <c r="C376" s="34"/>
      <c r="D376" s="34"/>
      <c r="M376" s="10"/>
    </row>
    <row r="377" spans="1:13" ht="12.3">
      <c r="A377" s="34"/>
      <c r="B377" s="34"/>
      <c r="C377" s="34"/>
      <c r="D377" s="34"/>
      <c r="M377" s="10"/>
    </row>
    <row r="378" spans="1:13" ht="12.3">
      <c r="A378" s="34"/>
      <c r="B378" s="34"/>
      <c r="C378" s="34"/>
      <c r="D378" s="34"/>
      <c r="M378" s="10"/>
    </row>
    <row r="379" spans="1:13" ht="12.3">
      <c r="A379" s="34"/>
      <c r="B379" s="34"/>
      <c r="C379" s="34"/>
      <c r="D379" s="34"/>
      <c r="M379" s="10"/>
    </row>
    <row r="380" spans="1:13" ht="12.3">
      <c r="A380" s="34"/>
      <c r="B380" s="34"/>
      <c r="C380" s="34"/>
      <c r="D380" s="34"/>
      <c r="M380" s="10"/>
    </row>
    <row r="381" spans="1:13" ht="12.3">
      <c r="A381" s="34"/>
      <c r="B381" s="34"/>
      <c r="C381" s="34"/>
      <c r="D381" s="34"/>
      <c r="M381" s="10"/>
    </row>
    <row r="382" spans="1:13" ht="12.3">
      <c r="A382" s="34"/>
      <c r="B382" s="34"/>
      <c r="C382" s="34"/>
      <c r="D382" s="34"/>
      <c r="M382" s="10"/>
    </row>
    <row r="383" spans="1:13" ht="12.3">
      <c r="A383" s="34"/>
      <c r="B383" s="34"/>
      <c r="C383" s="34"/>
      <c r="D383" s="34"/>
      <c r="M383" s="10"/>
    </row>
    <row r="384" spans="1:13" ht="12.3">
      <c r="A384" s="34"/>
      <c r="B384" s="34"/>
      <c r="C384" s="34"/>
      <c r="D384" s="34"/>
      <c r="M384" s="10"/>
    </row>
    <row r="385" spans="1:13" ht="12.3">
      <c r="A385" s="34"/>
      <c r="B385" s="34"/>
      <c r="C385" s="34"/>
      <c r="D385" s="34"/>
      <c r="M385" s="10"/>
    </row>
    <row r="386" spans="1:13" ht="12.3">
      <c r="A386" s="34"/>
      <c r="B386" s="34"/>
      <c r="C386" s="34"/>
      <c r="D386" s="34"/>
      <c r="M386" s="10"/>
    </row>
    <row r="387" spans="1:13" ht="12.3">
      <c r="A387" s="34"/>
      <c r="B387" s="34"/>
      <c r="C387" s="34"/>
      <c r="D387" s="34"/>
      <c r="M387" s="10"/>
    </row>
    <row r="388" spans="1:13" ht="12.3">
      <c r="A388" s="34"/>
      <c r="B388" s="34"/>
      <c r="C388" s="34"/>
      <c r="D388" s="34"/>
      <c r="M388" s="10"/>
    </row>
    <row r="389" spans="1:13" ht="12.3">
      <c r="A389" s="34"/>
      <c r="B389" s="34"/>
      <c r="C389" s="34"/>
      <c r="D389" s="34"/>
      <c r="M389" s="10"/>
    </row>
    <row r="390" spans="1:13" ht="12.3">
      <c r="A390" s="34"/>
      <c r="B390" s="34"/>
      <c r="C390" s="34"/>
      <c r="D390" s="34"/>
      <c r="M390" s="10"/>
    </row>
    <row r="391" spans="1:13" ht="12.3">
      <c r="A391" s="34"/>
      <c r="B391" s="34"/>
      <c r="C391" s="34"/>
      <c r="D391" s="34"/>
      <c r="M391" s="10"/>
    </row>
    <row r="392" spans="1:13" ht="12.3">
      <c r="A392" s="34"/>
      <c r="B392" s="34"/>
      <c r="C392" s="34"/>
      <c r="D392" s="34"/>
      <c r="M392" s="10"/>
    </row>
    <row r="393" spans="1:13" ht="12.3">
      <c r="A393" s="34"/>
      <c r="B393" s="34"/>
      <c r="C393" s="34"/>
      <c r="D393" s="34"/>
      <c r="M393" s="10"/>
    </row>
    <row r="394" spans="1:13" ht="12.3">
      <c r="A394" s="34"/>
      <c r="B394" s="34"/>
      <c r="C394" s="34"/>
      <c r="D394" s="34"/>
      <c r="M394" s="10"/>
    </row>
    <row r="395" spans="1:13" ht="12.3">
      <c r="A395" s="34"/>
      <c r="B395" s="34"/>
      <c r="C395" s="34"/>
      <c r="D395" s="34"/>
      <c r="M395" s="10"/>
    </row>
    <row r="396" spans="1:13" ht="12.3">
      <c r="A396" s="34"/>
      <c r="B396" s="34"/>
      <c r="C396" s="34"/>
      <c r="D396" s="34"/>
      <c r="M396" s="10"/>
    </row>
    <row r="397" spans="1:13" ht="12.3">
      <c r="A397" s="34"/>
      <c r="B397" s="34"/>
      <c r="C397" s="34"/>
      <c r="D397" s="34"/>
      <c r="M397" s="10"/>
    </row>
    <row r="398" spans="1:13" ht="12.3">
      <c r="A398" s="34"/>
      <c r="B398" s="34"/>
      <c r="C398" s="34"/>
      <c r="D398" s="34"/>
      <c r="M398" s="10"/>
    </row>
    <row r="399" spans="1:13" ht="12.3">
      <c r="A399" s="34"/>
      <c r="B399" s="34"/>
      <c r="C399" s="34"/>
      <c r="D399" s="34"/>
      <c r="M399" s="10"/>
    </row>
    <row r="400" spans="1:13" ht="12.3">
      <c r="A400" s="34"/>
      <c r="B400" s="34"/>
      <c r="C400" s="34"/>
      <c r="D400" s="34"/>
      <c r="M400" s="10"/>
    </row>
    <row r="401" spans="1:13" ht="12.3">
      <c r="A401" s="34"/>
      <c r="B401" s="34"/>
      <c r="C401" s="34"/>
      <c r="D401" s="34"/>
      <c r="M401" s="10"/>
    </row>
    <row r="402" spans="1:13" ht="12.3">
      <c r="A402" s="34"/>
      <c r="B402" s="34"/>
      <c r="C402" s="34"/>
      <c r="D402" s="34"/>
      <c r="M402" s="10"/>
    </row>
    <row r="403" spans="1:13" ht="12.3">
      <c r="A403" s="34"/>
      <c r="B403" s="34"/>
      <c r="C403" s="34"/>
      <c r="D403" s="34"/>
      <c r="M403" s="10"/>
    </row>
    <row r="404" spans="1:13" ht="12.3">
      <c r="A404" s="34"/>
      <c r="B404" s="34"/>
      <c r="C404" s="34"/>
      <c r="D404" s="34"/>
      <c r="M404" s="10"/>
    </row>
    <row r="405" spans="1:13" ht="12.3">
      <c r="A405" s="34"/>
      <c r="B405" s="34"/>
      <c r="C405" s="34"/>
      <c r="D405" s="34"/>
      <c r="M405" s="10"/>
    </row>
    <row r="406" spans="1:13" ht="12.3">
      <c r="A406" s="34"/>
      <c r="B406" s="34"/>
      <c r="C406" s="34"/>
      <c r="D406" s="34"/>
      <c r="M406" s="10"/>
    </row>
    <row r="407" spans="1:13" ht="12.3">
      <c r="A407" s="34"/>
      <c r="B407" s="34"/>
      <c r="C407" s="34"/>
      <c r="D407" s="34"/>
      <c r="M407" s="10"/>
    </row>
    <row r="408" spans="1:13" ht="12.3">
      <c r="A408" s="34"/>
      <c r="B408" s="34"/>
      <c r="C408" s="34"/>
      <c r="D408" s="34"/>
      <c r="M408" s="10"/>
    </row>
    <row r="409" spans="1:13" ht="12.3">
      <c r="A409" s="34"/>
      <c r="B409" s="34"/>
      <c r="C409" s="34"/>
      <c r="D409" s="34"/>
      <c r="M409" s="10"/>
    </row>
    <row r="410" spans="1:13" ht="12.3">
      <c r="A410" s="34"/>
      <c r="B410" s="34"/>
      <c r="C410" s="34"/>
      <c r="D410" s="34"/>
      <c r="M410" s="10"/>
    </row>
    <row r="411" spans="1:13" ht="12.3">
      <c r="A411" s="34"/>
      <c r="B411" s="34"/>
      <c r="C411" s="34"/>
      <c r="D411" s="34"/>
      <c r="M411" s="10"/>
    </row>
    <row r="412" spans="1:13" ht="12.3">
      <c r="A412" s="34"/>
      <c r="B412" s="34"/>
      <c r="C412" s="34"/>
      <c r="D412" s="34"/>
      <c r="M412" s="10"/>
    </row>
    <row r="413" spans="1:13" ht="12.3">
      <c r="A413" s="34"/>
      <c r="B413" s="34"/>
      <c r="C413" s="34"/>
      <c r="D413" s="34"/>
      <c r="M413" s="10"/>
    </row>
    <row r="414" spans="1:13" ht="12.3">
      <c r="A414" s="34"/>
      <c r="B414" s="34"/>
      <c r="C414" s="34"/>
      <c r="D414" s="34"/>
      <c r="M414" s="10"/>
    </row>
    <row r="415" spans="1:13" ht="12.3">
      <c r="A415" s="34"/>
      <c r="B415" s="34"/>
      <c r="C415" s="34"/>
      <c r="D415" s="34"/>
      <c r="M415" s="10"/>
    </row>
    <row r="416" spans="1:13" ht="12.3">
      <c r="A416" s="34"/>
      <c r="B416" s="34"/>
      <c r="C416" s="34"/>
      <c r="D416" s="34"/>
      <c r="M416" s="10"/>
    </row>
    <row r="417" spans="1:13" ht="12.3">
      <c r="A417" s="34"/>
      <c r="B417" s="34"/>
      <c r="C417" s="34"/>
      <c r="D417" s="34"/>
      <c r="M417" s="10"/>
    </row>
    <row r="418" spans="1:13" ht="12.3">
      <c r="A418" s="34"/>
      <c r="B418" s="34"/>
      <c r="C418" s="34"/>
      <c r="D418" s="34"/>
      <c r="M418" s="10"/>
    </row>
    <row r="419" spans="1:13" ht="12.3">
      <c r="A419" s="34"/>
      <c r="B419" s="34"/>
      <c r="C419" s="34"/>
      <c r="D419" s="34"/>
      <c r="M419" s="10"/>
    </row>
    <row r="420" spans="1:13" ht="12.3">
      <c r="A420" s="34"/>
      <c r="B420" s="34"/>
      <c r="C420" s="34"/>
      <c r="D420" s="34"/>
      <c r="M420" s="10"/>
    </row>
    <row r="421" spans="1:13" ht="12.3">
      <c r="A421" s="34"/>
      <c r="B421" s="34"/>
      <c r="C421" s="34"/>
      <c r="D421" s="34"/>
      <c r="M421" s="10"/>
    </row>
    <row r="422" spans="1:13" ht="12.3">
      <c r="A422" s="34"/>
      <c r="B422" s="34"/>
      <c r="C422" s="34"/>
      <c r="D422" s="34"/>
      <c r="M422" s="10"/>
    </row>
    <row r="423" spans="1:13" ht="12.3">
      <c r="A423" s="34"/>
      <c r="B423" s="34"/>
      <c r="C423" s="34"/>
      <c r="D423" s="34"/>
      <c r="M423" s="10"/>
    </row>
    <row r="424" spans="1:13" ht="12.3">
      <c r="A424" s="34"/>
      <c r="B424" s="34"/>
      <c r="C424" s="34"/>
      <c r="D424" s="34"/>
      <c r="M424" s="10"/>
    </row>
    <row r="425" spans="1:13" ht="12.3">
      <c r="A425" s="34"/>
      <c r="B425" s="34"/>
      <c r="C425" s="34"/>
      <c r="D425" s="34"/>
      <c r="M425" s="10"/>
    </row>
    <row r="426" spans="1:13" ht="12.3">
      <c r="A426" s="34"/>
      <c r="B426" s="34"/>
      <c r="C426" s="34"/>
      <c r="D426" s="34"/>
      <c r="M426" s="10"/>
    </row>
    <row r="427" spans="1:13" ht="12.3">
      <c r="A427" s="34"/>
      <c r="B427" s="34"/>
      <c r="C427" s="34"/>
      <c r="D427" s="34"/>
      <c r="M427" s="10"/>
    </row>
    <row r="428" spans="1:13" ht="12.3">
      <c r="A428" s="34"/>
      <c r="B428" s="34"/>
      <c r="C428" s="34"/>
      <c r="D428" s="34"/>
      <c r="M428" s="10"/>
    </row>
    <row r="429" spans="1:13" ht="12.3">
      <c r="A429" s="34"/>
      <c r="B429" s="34"/>
      <c r="C429" s="34"/>
      <c r="D429" s="34"/>
      <c r="M429" s="10"/>
    </row>
    <row r="430" spans="1:13" ht="12.3">
      <c r="A430" s="34"/>
      <c r="B430" s="34"/>
      <c r="C430" s="34"/>
      <c r="D430" s="34"/>
      <c r="M430" s="10"/>
    </row>
    <row r="431" spans="1:13" ht="12.3">
      <c r="A431" s="34"/>
      <c r="B431" s="34"/>
      <c r="C431" s="34"/>
      <c r="D431" s="34"/>
      <c r="M431" s="10"/>
    </row>
    <row r="432" spans="1:13" ht="12.3">
      <c r="A432" s="34"/>
      <c r="B432" s="34"/>
      <c r="C432" s="34"/>
      <c r="D432" s="34"/>
      <c r="M432" s="10"/>
    </row>
    <row r="433" spans="1:13" ht="12.3">
      <c r="A433" s="34"/>
      <c r="B433" s="34"/>
      <c r="C433" s="34"/>
      <c r="D433" s="34"/>
      <c r="M433" s="10"/>
    </row>
    <row r="434" spans="1:13" ht="12.3">
      <c r="A434" s="34"/>
      <c r="B434" s="34"/>
      <c r="C434" s="34"/>
      <c r="D434" s="34"/>
      <c r="M434" s="10"/>
    </row>
    <row r="435" spans="1:13" ht="12.3">
      <c r="A435" s="34"/>
      <c r="B435" s="34"/>
      <c r="C435" s="34"/>
      <c r="D435" s="34"/>
      <c r="M435" s="10"/>
    </row>
    <row r="436" spans="1:13" ht="12.3">
      <c r="A436" s="34"/>
      <c r="B436" s="34"/>
      <c r="C436" s="34"/>
      <c r="D436" s="34"/>
      <c r="M436" s="10"/>
    </row>
    <row r="437" spans="1:13" ht="12.3">
      <c r="A437" s="34"/>
      <c r="B437" s="34"/>
      <c r="C437" s="34"/>
      <c r="D437" s="34"/>
      <c r="M437" s="10"/>
    </row>
    <row r="438" spans="1:13" ht="12.3">
      <c r="A438" s="34"/>
      <c r="B438" s="34"/>
      <c r="C438" s="34"/>
      <c r="D438" s="34"/>
      <c r="M438" s="10"/>
    </row>
    <row r="439" spans="1:13" ht="12.3">
      <c r="A439" s="34"/>
      <c r="B439" s="34"/>
      <c r="C439" s="34"/>
      <c r="D439" s="34"/>
      <c r="M439" s="10"/>
    </row>
    <row r="440" spans="1:13" ht="12.3">
      <c r="A440" s="34"/>
      <c r="B440" s="34"/>
      <c r="C440" s="34"/>
      <c r="D440" s="34"/>
      <c r="M440" s="10"/>
    </row>
    <row r="441" spans="1:13" ht="12.3">
      <c r="A441" s="34"/>
      <c r="B441" s="34"/>
      <c r="C441" s="34"/>
      <c r="D441" s="34"/>
      <c r="M441" s="10"/>
    </row>
    <row r="442" spans="1:13" ht="12.3">
      <c r="A442" s="34"/>
      <c r="B442" s="34"/>
      <c r="C442" s="34"/>
      <c r="D442" s="34"/>
      <c r="M442" s="10"/>
    </row>
    <row r="443" spans="1:13" ht="12.3">
      <c r="A443" s="34"/>
      <c r="B443" s="34"/>
      <c r="C443" s="34"/>
      <c r="D443" s="34"/>
      <c r="M443" s="10"/>
    </row>
    <row r="444" spans="1:13" ht="12.3">
      <c r="A444" s="34"/>
      <c r="B444" s="34"/>
      <c r="C444" s="34"/>
      <c r="D444" s="34"/>
      <c r="M444" s="10"/>
    </row>
    <row r="445" spans="1:13" ht="12.3">
      <c r="A445" s="34"/>
      <c r="B445" s="34"/>
      <c r="C445" s="34"/>
      <c r="D445" s="34"/>
      <c r="M445" s="10"/>
    </row>
    <row r="446" spans="1:13" ht="12.3">
      <c r="A446" s="34"/>
      <c r="B446" s="34"/>
      <c r="C446" s="34"/>
      <c r="D446" s="34"/>
      <c r="M446" s="10"/>
    </row>
    <row r="447" spans="1:13" ht="12.3">
      <c r="A447" s="34"/>
      <c r="B447" s="34"/>
      <c r="C447" s="34"/>
      <c r="D447" s="34"/>
      <c r="M447" s="10"/>
    </row>
    <row r="448" spans="1:13" ht="12.3">
      <c r="A448" s="34"/>
      <c r="B448" s="34"/>
      <c r="C448" s="34"/>
      <c r="D448" s="34"/>
      <c r="M448" s="10"/>
    </row>
    <row r="449" spans="1:13" ht="12.3">
      <c r="A449" s="34"/>
      <c r="B449" s="34"/>
      <c r="C449" s="34"/>
      <c r="D449" s="34"/>
      <c r="M449" s="10"/>
    </row>
    <row r="450" spans="1:13" ht="12.3">
      <c r="A450" s="34"/>
      <c r="B450" s="34"/>
      <c r="C450" s="34"/>
      <c r="D450" s="34"/>
      <c r="M450" s="10"/>
    </row>
    <row r="451" spans="1:13" ht="12.3">
      <c r="A451" s="34"/>
      <c r="B451" s="34"/>
      <c r="C451" s="34"/>
      <c r="D451" s="34"/>
      <c r="M451" s="10"/>
    </row>
    <row r="452" spans="1:13" ht="12.3">
      <c r="A452" s="34"/>
      <c r="B452" s="34"/>
      <c r="C452" s="34"/>
      <c r="D452" s="34"/>
      <c r="M452" s="10"/>
    </row>
    <row r="453" spans="1:13" ht="12.3">
      <c r="A453" s="34"/>
      <c r="B453" s="34"/>
      <c r="C453" s="34"/>
      <c r="D453" s="34"/>
      <c r="M453" s="10"/>
    </row>
    <row r="454" spans="1:13" ht="12.3">
      <c r="A454" s="34"/>
      <c r="B454" s="34"/>
      <c r="C454" s="34"/>
      <c r="D454" s="34"/>
      <c r="M454" s="10"/>
    </row>
    <row r="455" spans="1:13" ht="12.3">
      <c r="A455" s="34"/>
      <c r="B455" s="34"/>
      <c r="C455" s="34"/>
      <c r="D455" s="34"/>
      <c r="M455" s="10"/>
    </row>
    <row r="456" spans="1:13" ht="12.3">
      <c r="A456" s="34"/>
      <c r="B456" s="34"/>
      <c r="C456" s="34"/>
      <c r="D456" s="34"/>
      <c r="M456" s="10"/>
    </row>
    <row r="457" spans="1:13" ht="12.3">
      <c r="A457" s="34"/>
      <c r="B457" s="34"/>
      <c r="C457" s="34"/>
      <c r="D457" s="34"/>
      <c r="M457" s="10"/>
    </row>
    <row r="458" spans="1:13" ht="12.3">
      <c r="A458" s="34"/>
      <c r="B458" s="34"/>
      <c r="C458" s="34"/>
      <c r="D458" s="34"/>
      <c r="M458" s="10"/>
    </row>
    <row r="459" spans="1:13" ht="12.3">
      <c r="A459" s="34"/>
      <c r="B459" s="34"/>
      <c r="C459" s="34"/>
      <c r="D459" s="34"/>
      <c r="M459" s="10"/>
    </row>
    <row r="460" spans="1:13" ht="12.3">
      <c r="A460" s="34"/>
      <c r="B460" s="34"/>
      <c r="C460" s="34"/>
      <c r="D460" s="34"/>
      <c r="M460" s="10"/>
    </row>
    <row r="461" spans="1:13" ht="12.3">
      <c r="A461" s="34"/>
      <c r="B461" s="34"/>
      <c r="C461" s="34"/>
      <c r="D461" s="34"/>
      <c r="M461" s="10"/>
    </row>
    <row r="462" spans="1:13" ht="12.3">
      <c r="A462" s="34"/>
      <c r="B462" s="34"/>
      <c r="C462" s="34"/>
      <c r="D462" s="34"/>
      <c r="M462" s="10"/>
    </row>
    <row r="463" spans="1:13" ht="12.3">
      <c r="A463" s="34"/>
      <c r="B463" s="34"/>
      <c r="C463" s="34"/>
      <c r="D463" s="34"/>
      <c r="M463" s="10"/>
    </row>
    <row r="464" spans="1:13" ht="12.3">
      <c r="A464" s="34"/>
      <c r="B464" s="34"/>
      <c r="C464" s="34"/>
      <c r="D464" s="34"/>
      <c r="M464" s="10"/>
    </row>
    <row r="465" spans="1:13" ht="12.3">
      <c r="A465" s="34"/>
      <c r="B465" s="34"/>
      <c r="C465" s="34"/>
      <c r="D465" s="34"/>
      <c r="M465" s="10"/>
    </row>
    <row r="466" spans="1:13" ht="12.3">
      <c r="A466" s="34"/>
      <c r="B466" s="34"/>
      <c r="C466" s="34"/>
      <c r="D466" s="34"/>
      <c r="M466" s="10"/>
    </row>
    <row r="467" spans="1:13" ht="12.3">
      <c r="A467" s="34"/>
      <c r="B467" s="34"/>
      <c r="C467" s="34"/>
      <c r="D467" s="34"/>
      <c r="M467" s="10"/>
    </row>
    <row r="468" spans="1:13" ht="12.3">
      <c r="A468" s="34"/>
      <c r="B468" s="34"/>
      <c r="C468" s="34"/>
      <c r="D468" s="34"/>
      <c r="M468" s="10"/>
    </row>
    <row r="469" spans="1:13" ht="12.3">
      <c r="A469" s="34"/>
      <c r="B469" s="34"/>
      <c r="C469" s="34"/>
      <c r="D469" s="34"/>
      <c r="M469" s="10"/>
    </row>
    <row r="470" spans="1:13" ht="12.3">
      <c r="A470" s="34"/>
      <c r="B470" s="34"/>
      <c r="C470" s="34"/>
      <c r="D470" s="34"/>
      <c r="M470" s="10"/>
    </row>
    <row r="471" spans="1:13" ht="12.3">
      <c r="A471" s="34"/>
      <c r="B471" s="34"/>
      <c r="C471" s="34"/>
      <c r="D471" s="34"/>
      <c r="M471" s="10"/>
    </row>
    <row r="472" spans="1:13" ht="12.3">
      <c r="A472" s="34"/>
      <c r="B472" s="34"/>
      <c r="C472" s="34"/>
      <c r="D472" s="34"/>
      <c r="M472" s="10"/>
    </row>
    <row r="473" spans="1:13" ht="12.3">
      <c r="A473" s="34"/>
      <c r="B473" s="34"/>
      <c r="C473" s="34"/>
      <c r="D473" s="34"/>
      <c r="M473" s="10"/>
    </row>
    <row r="474" spans="1:13" ht="12.3">
      <c r="A474" s="34"/>
      <c r="B474" s="34"/>
      <c r="C474" s="34"/>
      <c r="D474" s="34"/>
      <c r="M474" s="10"/>
    </row>
    <row r="475" spans="1:13" ht="12.3">
      <c r="A475" s="34"/>
      <c r="B475" s="34"/>
      <c r="C475" s="34"/>
      <c r="D475" s="34"/>
      <c r="M475" s="10"/>
    </row>
    <row r="476" spans="1:13" ht="12.3">
      <c r="A476" s="34"/>
      <c r="B476" s="34"/>
      <c r="C476" s="34"/>
      <c r="D476" s="34"/>
      <c r="M476" s="10"/>
    </row>
    <row r="477" spans="1:13" ht="12.3">
      <c r="A477" s="34"/>
      <c r="B477" s="34"/>
      <c r="C477" s="34"/>
      <c r="D477" s="34"/>
      <c r="M477" s="10"/>
    </row>
    <row r="478" spans="1:13" ht="12.3">
      <c r="A478" s="34"/>
      <c r="B478" s="34"/>
      <c r="C478" s="34"/>
      <c r="D478" s="34"/>
      <c r="M478" s="10"/>
    </row>
    <row r="479" spans="1:13" ht="12.3">
      <c r="A479" s="34"/>
      <c r="B479" s="34"/>
      <c r="C479" s="34"/>
      <c r="D479" s="34"/>
      <c r="M479" s="10"/>
    </row>
    <row r="480" spans="1:13" ht="12.3">
      <c r="A480" s="34"/>
      <c r="B480" s="34"/>
      <c r="C480" s="34"/>
      <c r="D480" s="34"/>
      <c r="M480" s="10"/>
    </row>
    <row r="481" spans="1:13" ht="12.3">
      <c r="A481" s="34"/>
      <c r="B481" s="34"/>
      <c r="C481" s="34"/>
      <c r="D481" s="34"/>
      <c r="M481" s="10"/>
    </row>
    <row r="482" spans="1:13" ht="12.3">
      <c r="A482" s="34"/>
      <c r="B482" s="34"/>
      <c r="C482" s="34"/>
      <c r="D482" s="34"/>
      <c r="M482" s="10"/>
    </row>
    <row r="483" spans="1:13" ht="12.3">
      <c r="A483" s="34"/>
      <c r="B483" s="34"/>
      <c r="C483" s="34"/>
      <c r="D483" s="34"/>
      <c r="M483" s="10"/>
    </row>
    <row r="484" spans="1:13" ht="12.3">
      <c r="A484" s="34"/>
      <c r="B484" s="34"/>
      <c r="C484" s="34"/>
      <c r="D484" s="34"/>
      <c r="M484" s="10"/>
    </row>
    <row r="485" spans="1:13" ht="12.3">
      <c r="A485" s="34"/>
      <c r="B485" s="34"/>
      <c r="C485" s="34"/>
      <c r="D485" s="34"/>
      <c r="M485" s="10"/>
    </row>
    <row r="486" spans="1:13" ht="12.3">
      <c r="A486" s="34"/>
      <c r="B486" s="34"/>
      <c r="C486" s="34"/>
      <c r="D486" s="34"/>
      <c r="M486" s="10"/>
    </row>
    <row r="487" spans="1:13" ht="12.3">
      <c r="A487" s="34"/>
      <c r="B487" s="34"/>
      <c r="C487" s="34"/>
      <c r="D487" s="34"/>
      <c r="M487" s="10"/>
    </row>
    <row r="488" spans="1:13" ht="12.3">
      <c r="A488" s="34"/>
      <c r="B488" s="34"/>
      <c r="C488" s="34"/>
      <c r="D488" s="34"/>
      <c r="M488" s="10"/>
    </row>
    <row r="489" spans="1:13" ht="12.3">
      <c r="A489" s="34"/>
      <c r="B489" s="34"/>
      <c r="C489" s="34"/>
      <c r="D489" s="34"/>
      <c r="M489" s="10"/>
    </row>
    <row r="490" spans="1:13" ht="12.3">
      <c r="A490" s="34"/>
      <c r="B490" s="34"/>
      <c r="C490" s="34"/>
      <c r="D490" s="34"/>
      <c r="M490" s="10"/>
    </row>
    <row r="491" spans="1:13" ht="12.3">
      <c r="A491" s="34"/>
      <c r="B491" s="34"/>
      <c r="C491" s="34"/>
      <c r="D491" s="34"/>
      <c r="M491" s="10"/>
    </row>
    <row r="492" spans="1:13" ht="12.3">
      <c r="A492" s="34"/>
      <c r="B492" s="34"/>
      <c r="C492" s="34"/>
      <c r="D492" s="34"/>
      <c r="M492" s="10"/>
    </row>
    <row r="493" spans="1:13" ht="12.3">
      <c r="A493" s="34"/>
      <c r="B493" s="34"/>
      <c r="C493" s="34"/>
      <c r="D493" s="34"/>
      <c r="M493" s="10"/>
    </row>
    <row r="494" spans="1:13" ht="12.3">
      <c r="A494" s="34"/>
      <c r="B494" s="34"/>
      <c r="C494" s="34"/>
      <c r="D494" s="34"/>
      <c r="M494" s="10"/>
    </row>
    <row r="495" spans="1:13" ht="12.3">
      <c r="A495" s="34"/>
      <c r="B495" s="34"/>
      <c r="C495" s="34"/>
      <c r="D495" s="34"/>
      <c r="M495" s="10"/>
    </row>
    <row r="496" spans="1:13" ht="12.3">
      <c r="A496" s="34"/>
      <c r="B496" s="34"/>
      <c r="C496" s="34"/>
      <c r="D496" s="34"/>
      <c r="M496" s="10"/>
    </row>
    <row r="497" spans="1:13" ht="12.3">
      <c r="A497" s="34"/>
      <c r="B497" s="34"/>
      <c r="C497" s="34"/>
      <c r="D497" s="34"/>
      <c r="M497" s="10"/>
    </row>
    <row r="498" spans="1:13" ht="12.3">
      <c r="A498" s="34"/>
      <c r="B498" s="34"/>
      <c r="C498" s="34"/>
      <c r="D498" s="34"/>
      <c r="M498" s="10"/>
    </row>
    <row r="499" spans="1:13" ht="12.3">
      <c r="A499" s="34"/>
      <c r="B499" s="34"/>
      <c r="C499" s="34"/>
      <c r="D499" s="34"/>
      <c r="M499" s="10"/>
    </row>
    <row r="500" spans="1:13" ht="12.3">
      <c r="A500" s="34"/>
      <c r="B500" s="34"/>
      <c r="C500" s="34"/>
      <c r="D500" s="34"/>
      <c r="M500" s="10"/>
    </row>
    <row r="501" spans="1:13" ht="12.3">
      <c r="A501" s="34"/>
      <c r="B501" s="34"/>
      <c r="C501" s="34"/>
      <c r="D501" s="34"/>
      <c r="M501" s="10"/>
    </row>
    <row r="502" spans="1:13" ht="12.3">
      <c r="A502" s="34"/>
      <c r="B502" s="34"/>
      <c r="C502" s="34"/>
      <c r="D502" s="34"/>
      <c r="M502" s="10"/>
    </row>
    <row r="503" spans="1:13" ht="12.3">
      <c r="A503" s="34"/>
      <c r="B503" s="34"/>
      <c r="C503" s="34"/>
      <c r="D503" s="34"/>
      <c r="M503" s="10"/>
    </row>
    <row r="504" spans="1:13" ht="12.3">
      <c r="A504" s="34"/>
      <c r="B504" s="34"/>
      <c r="C504" s="34"/>
      <c r="D504" s="34"/>
      <c r="M504" s="10"/>
    </row>
    <row r="505" spans="1:13" ht="12.3">
      <c r="A505" s="34"/>
      <c r="B505" s="34"/>
      <c r="C505" s="34"/>
      <c r="D505" s="34"/>
      <c r="M505" s="10"/>
    </row>
    <row r="506" spans="1:13" ht="12.3">
      <c r="A506" s="34"/>
      <c r="B506" s="34"/>
      <c r="C506" s="34"/>
      <c r="D506" s="34"/>
      <c r="M506" s="10"/>
    </row>
    <row r="507" spans="1:13" ht="12.3">
      <c r="A507" s="34"/>
      <c r="B507" s="34"/>
      <c r="C507" s="34"/>
      <c r="D507" s="34"/>
      <c r="M507" s="10"/>
    </row>
    <row r="508" spans="1:13" ht="12.3">
      <c r="A508" s="34"/>
      <c r="B508" s="34"/>
      <c r="C508" s="34"/>
      <c r="D508" s="34"/>
      <c r="M508" s="10"/>
    </row>
    <row r="509" spans="1:13" ht="12.3">
      <c r="A509" s="34"/>
      <c r="B509" s="34"/>
      <c r="C509" s="34"/>
      <c r="D509" s="34"/>
      <c r="M509" s="10"/>
    </row>
    <row r="510" spans="1:13" ht="12.3">
      <c r="A510" s="34"/>
      <c r="B510" s="34"/>
      <c r="C510" s="34"/>
      <c r="D510" s="34"/>
      <c r="M510" s="10"/>
    </row>
    <row r="511" spans="1:13" ht="12.3">
      <c r="A511" s="34"/>
      <c r="B511" s="34"/>
      <c r="C511" s="34"/>
      <c r="D511" s="34"/>
      <c r="M511" s="10"/>
    </row>
    <row r="512" spans="1:13" ht="12.3">
      <c r="A512" s="34"/>
      <c r="B512" s="34"/>
      <c r="C512" s="34"/>
      <c r="D512" s="34"/>
      <c r="M512" s="10"/>
    </row>
    <row r="513" spans="1:13" ht="12.3">
      <c r="A513" s="34"/>
      <c r="B513" s="34"/>
      <c r="C513" s="34"/>
      <c r="D513" s="34"/>
      <c r="M513" s="10"/>
    </row>
    <row r="514" spans="1:13" ht="12.3">
      <c r="A514" s="34"/>
      <c r="B514" s="34"/>
      <c r="C514" s="34"/>
      <c r="D514" s="34"/>
      <c r="M514" s="10"/>
    </row>
    <row r="515" spans="1:13" ht="12.3">
      <c r="A515" s="34"/>
      <c r="B515" s="34"/>
      <c r="C515" s="34"/>
      <c r="D515" s="34"/>
      <c r="M515" s="10"/>
    </row>
    <row r="516" spans="1:13" ht="12.3">
      <c r="A516" s="34"/>
      <c r="B516" s="34"/>
      <c r="C516" s="34"/>
      <c r="D516" s="34"/>
      <c r="M516" s="10"/>
    </row>
    <row r="517" spans="1:13" ht="12.3">
      <c r="A517" s="34"/>
      <c r="B517" s="34"/>
      <c r="C517" s="34"/>
      <c r="D517" s="34"/>
      <c r="M517" s="10"/>
    </row>
    <row r="518" spans="1:13" ht="12.3">
      <c r="A518" s="34"/>
      <c r="B518" s="34"/>
      <c r="C518" s="34"/>
      <c r="D518" s="34"/>
      <c r="M518" s="10"/>
    </row>
    <row r="519" spans="1:13" ht="12.3">
      <c r="A519" s="34"/>
      <c r="B519" s="34"/>
      <c r="C519" s="34"/>
      <c r="D519" s="34"/>
      <c r="M519" s="10"/>
    </row>
    <row r="520" spans="1:13" ht="12.3">
      <c r="A520" s="34"/>
      <c r="B520" s="34"/>
      <c r="C520" s="34"/>
      <c r="D520" s="34"/>
      <c r="M520" s="10"/>
    </row>
    <row r="521" spans="1:13" ht="12.3">
      <c r="A521" s="34"/>
      <c r="B521" s="34"/>
      <c r="C521" s="34"/>
      <c r="D521" s="34"/>
      <c r="M521" s="10"/>
    </row>
    <row r="522" spans="1:13" ht="12.3">
      <c r="A522" s="34"/>
      <c r="B522" s="34"/>
      <c r="C522" s="34"/>
      <c r="D522" s="34"/>
      <c r="M522" s="10"/>
    </row>
    <row r="523" spans="1:13" ht="12.3">
      <c r="A523" s="34"/>
      <c r="B523" s="34"/>
      <c r="C523" s="34"/>
      <c r="D523" s="34"/>
      <c r="M523" s="10"/>
    </row>
    <row r="524" spans="1:13" ht="12.3">
      <c r="A524" s="34"/>
      <c r="B524" s="34"/>
      <c r="C524" s="34"/>
      <c r="D524" s="34"/>
      <c r="M524" s="10"/>
    </row>
    <row r="525" spans="1:13" ht="12.3">
      <c r="A525" s="34"/>
      <c r="B525" s="34"/>
      <c r="C525" s="34"/>
      <c r="D525" s="34"/>
      <c r="M525" s="10"/>
    </row>
    <row r="526" spans="1:13" ht="12.3">
      <c r="A526" s="34"/>
      <c r="B526" s="34"/>
      <c r="C526" s="34"/>
      <c r="D526" s="34"/>
      <c r="M526" s="10"/>
    </row>
    <row r="527" spans="1:13" ht="12.3">
      <c r="A527" s="34"/>
      <c r="B527" s="34"/>
      <c r="C527" s="34"/>
      <c r="D527" s="34"/>
      <c r="M527" s="10"/>
    </row>
    <row r="528" spans="1:13" ht="12.3">
      <c r="A528" s="34"/>
      <c r="B528" s="34"/>
      <c r="C528" s="34"/>
      <c r="D528" s="34"/>
      <c r="M528" s="10"/>
    </row>
    <row r="529" spans="1:13" ht="12.3">
      <c r="A529" s="34"/>
      <c r="B529" s="34"/>
      <c r="C529" s="34"/>
      <c r="D529" s="34"/>
      <c r="M529" s="10"/>
    </row>
    <row r="530" spans="1:13" ht="12.3">
      <c r="A530" s="34"/>
      <c r="B530" s="34"/>
      <c r="C530" s="34"/>
      <c r="D530" s="34"/>
      <c r="M530" s="10"/>
    </row>
    <row r="531" spans="1:13" ht="12.3">
      <c r="A531" s="34"/>
      <c r="B531" s="34"/>
      <c r="C531" s="34"/>
      <c r="D531" s="34"/>
      <c r="M531" s="10"/>
    </row>
    <row r="532" spans="1:13" ht="12.3">
      <c r="A532" s="34"/>
      <c r="B532" s="34"/>
      <c r="C532" s="34"/>
      <c r="D532" s="34"/>
      <c r="M532" s="10"/>
    </row>
    <row r="533" spans="1:13" ht="12.3">
      <c r="A533" s="34"/>
      <c r="B533" s="34"/>
      <c r="C533" s="34"/>
      <c r="D533" s="34"/>
      <c r="M533" s="10"/>
    </row>
    <row r="534" spans="1:13" ht="12.3">
      <c r="A534" s="34"/>
      <c r="B534" s="34"/>
      <c r="C534" s="34"/>
      <c r="D534" s="34"/>
      <c r="M534" s="10"/>
    </row>
    <row r="535" spans="1:13" ht="12.3">
      <c r="A535" s="34"/>
      <c r="B535" s="34"/>
      <c r="C535" s="34"/>
      <c r="D535" s="34"/>
      <c r="M535" s="10"/>
    </row>
    <row r="536" spans="1:13" ht="12.3">
      <c r="A536" s="34"/>
      <c r="B536" s="34"/>
      <c r="C536" s="34"/>
      <c r="D536" s="34"/>
      <c r="M536" s="10"/>
    </row>
    <row r="537" spans="1:13" ht="12.3">
      <c r="A537" s="34"/>
      <c r="B537" s="34"/>
      <c r="C537" s="34"/>
      <c r="D537" s="34"/>
      <c r="M537" s="10"/>
    </row>
    <row r="538" spans="1:13" ht="12.3">
      <c r="A538" s="34"/>
      <c r="B538" s="34"/>
      <c r="C538" s="34"/>
      <c r="D538" s="34"/>
      <c r="M538" s="10"/>
    </row>
    <row r="539" spans="1:13" ht="12.3">
      <c r="A539" s="34"/>
      <c r="B539" s="34"/>
      <c r="C539" s="34"/>
      <c r="D539" s="34"/>
      <c r="M539" s="10"/>
    </row>
    <row r="540" spans="1:13" ht="12.3">
      <c r="A540" s="34"/>
      <c r="B540" s="34"/>
      <c r="C540" s="34"/>
      <c r="D540" s="34"/>
      <c r="M540" s="10"/>
    </row>
    <row r="541" spans="1:13" ht="12.3">
      <c r="A541" s="34"/>
      <c r="B541" s="34"/>
      <c r="C541" s="34"/>
      <c r="D541" s="34"/>
      <c r="M541" s="10"/>
    </row>
    <row r="542" spans="1:13" ht="12.3">
      <c r="A542" s="34"/>
      <c r="B542" s="34"/>
      <c r="C542" s="34"/>
      <c r="D542" s="34"/>
      <c r="M542" s="10"/>
    </row>
    <row r="543" spans="1:13" ht="12.3">
      <c r="A543" s="34"/>
      <c r="B543" s="34"/>
      <c r="C543" s="34"/>
      <c r="D543" s="34"/>
      <c r="M543" s="10"/>
    </row>
    <row r="544" spans="1:13" ht="12.3">
      <c r="A544" s="34"/>
      <c r="B544" s="34"/>
      <c r="C544" s="34"/>
      <c r="D544" s="34"/>
      <c r="M544" s="10"/>
    </row>
    <row r="545" spans="1:13" ht="12.3">
      <c r="A545" s="34"/>
      <c r="B545" s="34"/>
      <c r="C545" s="34"/>
      <c r="D545" s="34"/>
      <c r="M545" s="10"/>
    </row>
    <row r="546" spans="1:13" ht="12.3">
      <c r="A546" s="34"/>
      <c r="B546" s="34"/>
      <c r="C546" s="34"/>
      <c r="D546" s="34"/>
      <c r="M546" s="10"/>
    </row>
    <row r="547" spans="1:13" ht="12.3">
      <c r="A547" s="34"/>
      <c r="B547" s="34"/>
      <c r="C547" s="34"/>
      <c r="D547" s="34"/>
      <c r="M547" s="10"/>
    </row>
    <row r="548" spans="1:13" ht="12.3">
      <c r="A548" s="34"/>
      <c r="B548" s="34"/>
      <c r="C548" s="34"/>
      <c r="D548" s="34"/>
      <c r="M548" s="10"/>
    </row>
    <row r="549" spans="1:13" ht="12.3">
      <c r="A549" s="34"/>
      <c r="B549" s="34"/>
      <c r="C549" s="34"/>
      <c r="D549" s="34"/>
      <c r="M549" s="10"/>
    </row>
    <row r="550" spans="1:13" ht="12.3">
      <c r="A550" s="34"/>
      <c r="B550" s="34"/>
      <c r="C550" s="34"/>
      <c r="D550" s="34"/>
      <c r="M550" s="10"/>
    </row>
    <row r="551" spans="1:13" ht="12.3">
      <c r="A551" s="34"/>
      <c r="B551" s="34"/>
      <c r="C551" s="34"/>
      <c r="D551" s="34"/>
      <c r="M551" s="10"/>
    </row>
    <row r="552" spans="1:13" ht="12.3">
      <c r="A552" s="34"/>
      <c r="B552" s="34"/>
      <c r="C552" s="34"/>
      <c r="D552" s="34"/>
      <c r="M552" s="10"/>
    </row>
    <row r="553" spans="1:13" ht="12.3">
      <c r="A553" s="34"/>
      <c r="B553" s="34"/>
      <c r="C553" s="34"/>
      <c r="D553" s="34"/>
      <c r="M553" s="10"/>
    </row>
    <row r="554" spans="1:13" ht="12.3">
      <c r="A554" s="34"/>
      <c r="B554" s="34"/>
      <c r="C554" s="34"/>
      <c r="D554" s="34"/>
      <c r="M554" s="10"/>
    </row>
    <row r="555" spans="1:13" ht="12.3">
      <c r="A555" s="34"/>
      <c r="B555" s="34"/>
      <c r="C555" s="34"/>
      <c r="D555" s="34"/>
      <c r="M555" s="10"/>
    </row>
    <row r="556" spans="1:13" ht="12.3">
      <c r="A556" s="34"/>
      <c r="B556" s="34"/>
      <c r="C556" s="34"/>
      <c r="D556" s="34"/>
      <c r="M556" s="10"/>
    </row>
    <row r="557" spans="1:13" ht="12.3">
      <c r="A557" s="34"/>
      <c r="B557" s="34"/>
      <c r="C557" s="34"/>
      <c r="D557" s="34"/>
      <c r="M557" s="10"/>
    </row>
    <row r="558" spans="1:13" ht="12.3">
      <c r="A558" s="34"/>
      <c r="B558" s="34"/>
      <c r="C558" s="34"/>
      <c r="D558" s="34"/>
      <c r="M558" s="10"/>
    </row>
    <row r="559" spans="1:13" ht="12.3">
      <c r="A559" s="34"/>
      <c r="B559" s="34"/>
      <c r="C559" s="34"/>
      <c r="D559" s="34"/>
      <c r="M559" s="10"/>
    </row>
    <row r="560" spans="1:13" ht="12.3">
      <c r="A560" s="34"/>
      <c r="B560" s="34"/>
      <c r="C560" s="34"/>
      <c r="D560" s="34"/>
      <c r="M560" s="10"/>
    </row>
    <row r="561" spans="1:13" ht="12.3">
      <c r="A561" s="34"/>
      <c r="B561" s="34"/>
      <c r="C561" s="34"/>
      <c r="D561" s="34"/>
      <c r="M561" s="10"/>
    </row>
    <row r="562" spans="1:13" ht="12.3">
      <c r="A562" s="34"/>
      <c r="B562" s="34"/>
      <c r="C562" s="34"/>
      <c r="D562" s="34"/>
      <c r="M562" s="10"/>
    </row>
    <row r="563" spans="1:13" ht="12.3">
      <c r="A563" s="34"/>
      <c r="B563" s="34"/>
      <c r="C563" s="34"/>
      <c r="D563" s="34"/>
      <c r="M563" s="10"/>
    </row>
    <row r="564" spans="1:13" ht="12.3">
      <c r="A564" s="34"/>
      <c r="B564" s="34"/>
      <c r="C564" s="34"/>
      <c r="D564" s="34"/>
      <c r="M564" s="10"/>
    </row>
    <row r="565" spans="1:13" ht="12.3">
      <c r="A565" s="34"/>
      <c r="B565" s="34"/>
      <c r="C565" s="34"/>
      <c r="D565" s="34"/>
      <c r="M565" s="10"/>
    </row>
    <row r="566" spans="1:13" ht="12.3">
      <c r="A566" s="34"/>
      <c r="B566" s="34"/>
      <c r="C566" s="34"/>
      <c r="D566" s="34"/>
      <c r="M566" s="10"/>
    </row>
    <row r="567" spans="1:13" ht="12.3">
      <c r="A567" s="34"/>
      <c r="B567" s="34"/>
      <c r="C567" s="34"/>
      <c r="D567" s="34"/>
      <c r="M567" s="10"/>
    </row>
    <row r="568" spans="1:13" ht="12.3">
      <c r="A568" s="34"/>
      <c r="B568" s="34"/>
      <c r="C568" s="34"/>
      <c r="D568" s="34"/>
      <c r="M568" s="10"/>
    </row>
    <row r="569" spans="1:13" ht="12.3">
      <c r="A569" s="34"/>
      <c r="B569" s="34"/>
      <c r="C569" s="34"/>
      <c r="D569" s="34"/>
      <c r="M569" s="10"/>
    </row>
    <row r="570" spans="1:13" ht="12.3">
      <c r="A570" s="34"/>
      <c r="B570" s="34"/>
      <c r="C570" s="34"/>
      <c r="D570" s="34"/>
      <c r="M570" s="10"/>
    </row>
    <row r="571" spans="1:13" ht="12.3">
      <c r="A571" s="34"/>
      <c r="B571" s="34"/>
      <c r="C571" s="34"/>
      <c r="D571" s="34"/>
      <c r="M571" s="10"/>
    </row>
    <row r="572" spans="1:13" ht="12.3">
      <c r="A572" s="34"/>
      <c r="B572" s="34"/>
      <c r="C572" s="34"/>
      <c r="D572" s="34"/>
      <c r="M572" s="10"/>
    </row>
    <row r="573" spans="1:13" ht="12.3">
      <c r="A573" s="34"/>
      <c r="B573" s="34"/>
      <c r="C573" s="34"/>
      <c r="D573" s="34"/>
      <c r="M573" s="10"/>
    </row>
    <row r="574" spans="1:13" ht="12.3">
      <c r="A574" s="34"/>
      <c r="B574" s="34"/>
      <c r="C574" s="34"/>
      <c r="D574" s="34"/>
      <c r="M574" s="10"/>
    </row>
    <row r="575" spans="1:13" ht="12.3">
      <c r="A575" s="34"/>
      <c r="B575" s="34"/>
      <c r="C575" s="34"/>
      <c r="D575" s="34"/>
      <c r="M575" s="10"/>
    </row>
    <row r="576" spans="1:13" ht="12.3">
      <c r="A576" s="34"/>
      <c r="B576" s="34"/>
      <c r="C576" s="34"/>
      <c r="D576" s="34"/>
      <c r="M576" s="10"/>
    </row>
    <row r="577" spans="1:13" ht="12.3">
      <c r="A577" s="34"/>
      <c r="B577" s="34"/>
      <c r="C577" s="34"/>
      <c r="D577" s="34"/>
      <c r="M577" s="10"/>
    </row>
    <row r="578" spans="1:13" ht="12.3">
      <c r="A578" s="34"/>
      <c r="B578" s="34"/>
      <c r="C578" s="34"/>
      <c r="D578" s="34"/>
      <c r="M578" s="10"/>
    </row>
    <row r="579" spans="1:13" ht="12.3">
      <c r="A579" s="34"/>
      <c r="B579" s="34"/>
      <c r="C579" s="34"/>
      <c r="D579" s="34"/>
      <c r="M579" s="10"/>
    </row>
    <row r="580" spans="1:13" ht="12.3">
      <c r="A580" s="34"/>
      <c r="B580" s="34"/>
      <c r="C580" s="34"/>
      <c r="D580" s="34"/>
      <c r="M580" s="10"/>
    </row>
    <row r="581" spans="1:13" ht="12.3">
      <c r="A581" s="34"/>
      <c r="B581" s="34"/>
      <c r="C581" s="34"/>
      <c r="D581" s="34"/>
      <c r="M581" s="10"/>
    </row>
    <row r="582" spans="1:13" ht="12.3">
      <c r="A582" s="34"/>
      <c r="B582" s="34"/>
      <c r="C582" s="34"/>
      <c r="D582" s="34"/>
      <c r="M582" s="10"/>
    </row>
    <row r="583" spans="1:13" ht="12.3">
      <c r="A583" s="34"/>
      <c r="B583" s="34"/>
      <c r="C583" s="34"/>
      <c r="D583" s="34"/>
      <c r="M583" s="10"/>
    </row>
    <row r="584" spans="1:13" ht="12.3">
      <c r="A584" s="34"/>
      <c r="B584" s="34"/>
      <c r="C584" s="34"/>
      <c r="D584" s="34"/>
      <c r="M584" s="10"/>
    </row>
    <row r="585" spans="1:13" ht="12.3">
      <c r="A585" s="34"/>
      <c r="B585" s="34"/>
      <c r="C585" s="34"/>
      <c r="D585" s="34"/>
      <c r="M585" s="10"/>
    </row>
    <row r="586" spans="1:13" ht="12.3">
      <c r="A586" s="34"/>
      <c r="B586" s="34"/>
      <c r="C586" s="34"/>
      <c r="D586" s="34"/>
      <c r="M586" s="10"/>
    </row>
    <row r="587" spans="1:13" ht="12.3">
      <c r="A587" s="34"/>
      <c r="B587" s="34"/>
      <c r="C587" s="34"/>
      <c r="D587" s="34"/>
      <c r="M587" s="10"/>
    </row>
    <row r="588" spans="1:13" ht="12.3">
      <c r="A588" s="34"/>
      <c r="B588" s="34"/>
      <c r="C588" s="34"/>
      <c r="D588" s="34"/>
      <c r="M588" s="10"/>
    </row>
    <row r="589" spans="1:13" ht="12.3">
      <c r="A589" s="34"/>
      <c r="B589" s="34"/>
      <c r="C589" s="34"/>
      <c r="D589" s="34"/>
      <c r="M589" s="10"/>
    </row>
    <row r="590" spans="1:13" ht="12.3">
      <c r="A590" s="34"/>
      <c r="B590" s="34"/>
      <c r="C590" s="34"/>
      <c r="D590" s="34"/>
      <c r="M590" s="10"/>
    </row>
    <row r="591" spans="1:13" ht="12.3">
      <c r="A591" s="34"/>
      <c r="B591" s="34"/>
      <c r="C591" s="34"/>
      <c r="D591" s="34"/>
      <c r="M591" s="10"/>
    </row>
    <row r="592" spans="1:13" ht="12.3">
      <c r="A592" s="34"/>
      <c r="B592" s="34"/>
      <c r="C592" s="34"/>
      <c r="D592" s="34"/>
      <c r="M592" s="10"/>
    </row>
    <row r="593" spans="1:13" ht="12.3">
      <c r="A593" s="34"/>
      <c r="B593" s="34"/>
      <c r="C593" s="34"/>
      <c r="D593" s="34"/>
      <c r="M593" s="10"/>
    </row>
    <row r="594" spans="1:13" ht="12.3">
      <c r="A594" s="34"/>
      <c r="B594" s="34"/>
      <c r="C594" s="34"/>
      <c r="D594" s="34"/>
      <c r="M594" s="10"/>
    </row>
    <row r="595" spans="1:13" ht="12.3">
      <c r="A595" s="34"/>
      <c r="B595" s="34"/>
      <c r="C595" s="34"/>
      <c r="D595" s="34"/>
      <c r="M595" s="10"/>
    </row>
    <row r="596" spans="1:13" ht="12.3">
      <c r="A596" s="34"/>
      <c r="B596" s="34"/>
      <c r="C596" s="34"/>
      <c r="D596" s="34"/>
      <c r="M596" s="10"/>
    </row>
    <row r="597" spans="1:13" ht="12.3">
      <c r="A597" s="34"/>
      <c r="B597" s="34"/>
      <c r="C597" s="34"/>
      <c r="D597" s="34"/>
      <c r="M597" s="10"/>
    </row>
    <row r="598" spans="1:13" ht="12.3">
      <c r="A598" s="34"/>
      <c r="B598" s="34"/>
      <c r="C598" s="34"/>
      <c r="D598" s="34"/>
      <c r="M598" s="10"/>
    </row>
    <row r="599" spans="1:13" ht="12.3">
      <c r="A599" s="34"/>
      <c r="B599" s="34"/>
      <c r="C599" s="34"/>
      <c r="D599" s="34"/>
      <c r="M599" s="10"/>
    </row>
    <row r="600" spans="1:13" ht="12.3">
      <c r="A600" s="34"/>
      <c r="B600" s="34"/>
      <c r="C600" s="34"/>
      <c r="D600" s="34"/>
      <c r="M600" s="10"/>
    </row>
    <row r="601" spans="1:13" ht="12.3">
      <c r="A601" s="34"/>
      <c r="B601" s="34"/>
      <c r="C601" s="34"/>
      <c r="D601" s="34"/>
      <c r="M601" s="10"/>
    </row>
    <row r="602" spans="1:13" ht="12.3">
      <c r="A602" s="34"/>
      <c r="B602" s="34"/>
      <c r="C602" s="34"/>
      <c r="D602" s="34"/>
      <c r="M602" s="10"/>
    </row>
    <row r="603" spans="1:13" ht="12.3">
      <c r="A603" s="34"/>
      <c r="B603" s="34"/>
      <c r="C603" s="34"/>
      <c r="D603" s="34"/>
      <c r="M603" s="10"/>
    </row>
    <row r="604" spans="1:13" ht="12.3">
      <c r="A604" s="34"/>
      <c r="B604" s="34"/>
      <c r="C604" s="34"/>
      <c r="D604" s="34"/>
      <c r="M604" s="10"/>
    </row>
    <row r="605" spans="1:13" ht="12.3">
      <c r="A605" s="34"/>
      <c r="B605" s="34"/>
      <c r="C605" s="34"/>
      <c r="D605" s="34"/>
      <c r="M605" s="10"/>
    </row>
    <row r="606" spans="1:13" ht="12.3">
      <c r="A606" s="34"/>
      <c r="B606" s="34"/>
      <c r="C606" s="34"/>
      <c r="D606" s="34"/>
      <c r="M606" s="10"/>
    </row>
    <row r="607" spans="1:13" ht="12.3">
      <c r="A607" s="34"/>
      <c r="B607" s="34"/>
      <c r="C607" s="34"/>
      <c r="D607" s="34"/>
      <c r="M607" s="10"/>
    </row>
    <row r="608" spans="1:13" ht="12.3">
      <c r="A608" s="34"/>
      <c r="B608" s="34"/>
      <c r="C608" s="34"/>
      <c r="D608" s="34"/>
      <c r="M608" s="10"/>
    </row>
    <row r="609" spans="1:13" ht="12.3">
      <c r="A609" s="34"/>
      <c r="B609" s="34"/>
      <c r="C609" s="34"/>
      <c r="D609" s="34"/>
      <c r="M609" s="10"/>
    </row>
    <row r="610" spans="1:13" ht="12.3">
      <c r="A610" s="34"/>
      <c r="B610" s="34"/>
      <c r="C610" s="34"/>
      <c r="D610" s="34"/>
      <c r="M610" s="10"/>
    </row>
    <row r="611" spans="1:13" ht="12.3">
      <c r="A611" s="34"/>
      <c r="B611" s="34"/>
      <c r="C611" s="34"/>
      <c r="D611" s="34"/>
      <c r="M611" s="10"/>
    </row>
    <row r="612" spans="1:13" ht="12.3">
      <c r="A612" s="34"/>
      <c r="B612" s="34"/>
      <c r="C612" s="34"/>
      <c r="D612" s="34"/>
      <c r="M612" s="10"/>
    </row>
    <row r="613" spans="1:13" ht="12.3">
      <c r="A613" s="34"/>
      <c r="B613" s="34"/>
      <c r="C613" s="34"/>
      <c r="D613" s="34"/>
      <c r="M613" s="10"/>
    </row>
    <row r="614" spans="1:13" ht="12.3">
      <c r="A614" s="34"/>
      <c r="B614" s="34"/>
      <c r="C614" s="34"/>
      <c r="D614" s="34"/>
      <c r="M614" s="10"/>
    </row>
    <row r="615" spans="1:13" ht="12.3">
      <c r="A615" s="34"/>
      <c r="B615" s="34"/>
      <c r="C615" s="34"/>
      <c r="D615" s="34"/>
      <c r="M615" s="10"/>
    </row>
    <row r="616" spans="1:13" ht="12.3">
      <c r="A616" s="34"/>
      <c r="B616" s="34"/>
      <c r="C616" s="34"/>
      <c r="D616" s="34"/>
      <c r="M616" s="10"/>
    </row>
    <row r="617" spans="1:13" ht="12.3">
      <c r="A617" s="34"/>
      <c r="B617" s="34"/>
      <c r="C617" s="34"/>
      <c r="D617" s="34"/>
      <c r="M617" s="10"/>
    </row>
    <row r="618" spans="1:13" ht="12.3">
      <c r="A618" s="34"/>
      <c r="B618" s="34"/>
      <c r="C618" s="34"/>
      <c r="D618" s="34"/>
      <c r="M618" s="10"/>
    </row>
    <row r="619" spans="1:13" ht="12.3">
      <c r="A619" s="34"/>
      <c r="B619" s="34"/>
      <c r="C619" s="34"/>
      <c r="D619" s="34"/>
      <c r="M619" s="10"/>
    </row>
    <row r="620" spans="1:13" ht="12.3">
      <c r="A620" s="34"/>
      <c r="B620" s="34"/>
      <c r="C620" s="34"/>
      <c r="D620" s="34"/>
      <c r="M620" s="10"/>
    </row>
    <row r="621" spans="1:13" ht="12.3">
      <c r="A621" s="34"/>
      <c r="B621" s="34"/>
      <c r="C621" s="34"/>
      <c r="D621" s="34"/>
      <c r="M621" s="10"/>
    </row>
    <row r="622" spans="1:13" ht="12.3">
      <c r="A622" s="34"/>
      <c r="B622" s="34"/>
      <c r="C622" s="34"/>
      <c r="D622" s="34"/>
      <c r="M622" s="10"/>
    </row>
    <row r="623" spans="1:13" ht="12.3">
      <c r="A623" s="34"/>
      <c r="B623" s="34"/>
      <c r="C623" s="34"/>
      <c r="D623" s="34"/>
      <c r="M623" s="10"/>
    </row>
    <row r="624" spans="1:13" ht="12.3">
      <c r="A624" s="34"/>
      <c r="B624" s="34"/>
      <c r="C624" s="34"/>
      <c r="D624" s="34"/>
      <c r="M624" s="10"/>
    </row>
    <row r="625" spans="1:13" ht="12.3">
      <c r="A625" s="34"/>
      <c r="B625" s="34"/>
      <c r="C625" s="34"/>
      <c r="D625" s="34"/>
      <c r="M625" s="10"/>
    </row>
    <row r="626" spans="1:13" ht="12.3">
      <c r="A626" s="34"/>
      <c r="B626" s="34"/>
      <c r="C626" s="34"/>
      <c r="D626" s="34"/>
      <c r="M626" s="10"/>
    </row>
    <row r="627" spans="1:13" ht="12.3">
      <c r="A627" s="34"/>
      <c r="B627" s="34"/>
      <c r="C627" s="34"/>
      <c r="D627" s="34"/>
      <c r="M627" s="10"/>
    </row>
    <row r="628" spans="1:13" ht="12.3">
      <c r="A628" s="34"/>
      <c r="B628" s="34"/>
      <c r="C628" s="34"/>
      <c r="D628" s="34"/>
      <c r="M628" s="10"/>
    </row>
    <row r="629" spans="1:13" ht="12.3">
      <c r="A629" s="34"/>
      <c r="B629" s="34"/>
      <c r="C629" s="34"/>
      <c r="D629" s="34"/>
      <c r="M629" s="10"/>
    </row>
    <row r="630" spans="1:13" ht="12.3">
      <c r="A630" s="34"/>
      <c r="B630" s="34"/>
      <c r="C630" s="34"/>
      <c r="D630" s="34"/>
      <c r="M630" s="10"/>
    </row>
    <row r="631" spans="1:13" ht="12.3">
      <c r="A631" s="34"/>
      <c r="B631" s="34"/>
      <c r="C631" s="34"/>
      <c r="D631" s="34"/>
      <c r="M631" s="10"/>
    </row>
    <row r="632" spans="1:13" ht="12.3">
      <c r="A632" s="34"/>
      <c r="B632" s="34"/>
      <c r="C632" s="34"/>
      <c r="D632" s="34"/>
      <c r="M632" s="10"/>
    </row>
    <row r="633" spans="1:13" ht="12.3">
      <c r="A633" s="34"/>
      <c r="B633" s="34"/>
      <c r="C633" s="34"/>
      <c r="D633" s="34"/>
      <c r="M633" s="10"/>
    </row>
    <row r="634" spans="1:13" ht="12.3">
      <c r="A634" s="34"/>
      <c r="B634" s="34"/>
      <c r="C634" s="34"/>
      <c r="D634" s="34"/>
      <c r="M634" s="10"/>
    </row>
    <row r="635" spans="1:13" ht="12.3">
      <c r="A635" s="34"/>
      <c r="B635" s="34"/>
      <c r="C635" s="34"/>
      <c r="D635" s="34"/>
      <c r="M635" s="10"/>
    </row>
    <row r="636" spans="1:13" ht="12.3">
      <c r="A636" s="34"/>
      <c r="B636" s="34"/>
      <c r="C636" s="34"/>
      <c r="D636" s="34"/>
      <c r="M636" s="10"/>
    </row>
    <row r="637" spans="1:13" ht="12.3">
      <c r="A637" s="34"/>
      <c r="B637" s="34"/>
      <c r="C637" s="34"/>
      <c r="D637" s="34"/>
      <c r="M637" s="10"/>
    </row>
    <row r="638" spans="1:13" ht="12.3">
      <c r="A638" s="34"/>
      <c r="B638" s="34"/>
      <c r="C638" s="34"/>
      <c r="D638" s="34"/>
      <c r="M638" s="10"/>
    </row>
    <row r="639" spans="1:13" ht="12.3">
      <c r="A639" s="34"/>
      <c r="B639" s="34"/>
      <c r="C639" s="34"/>
      <c r="D639" s="34"/>
      <c r="M639" s="10"/>
    </row>
    <row r="640" spans="1:13" ht="12.3">
      <c r="A640" s="34"/>
      <c r="B640" s="34"/>
      <c r="C640" s="34"/>
      <c r="D640" s="34"/>
      <c r="M640" s="10"/>
    </row>
    <row r="641" spans="1:13" ht="12.3">
      <c r="A641" s="34"/>
      <c r="B641" s="34"/>
      <c r="C641" s="34"/>
      <c r="D641" s="34"/>
      <c r="M641" s="10"/>
    </row>
    <row r="642" spans="1:13" ht="12.3">
      <c r="A642" s="34"/>
      <c r="B642" s="34"/>
      <c r="C642" s="34"/>
      <c r="D642" s="34"/>
      <c r="M642" s="10"/>
    </row>
    <row r="643" spans="1:13" ht="12.3">
      <c r="A643" s="34"/>
      <c r="B643" s="34"/>
      <c r="C643" s="34"/>
      <c r="D643" s="34"/>
      <c r="M643" s="10"/>
    </row>
    <row r="644" spans="1:13" ht="12.3">
      <c r="A644" s="34"/>
      <c r="B644" s="34"/>
      <c r="C644" s="34"/>
      <c r="D644" s="34"/>
      <c r="M644" s="10"/>
    </row>
    <row r="645" spans="1:13" ht="12.3">
      <c r="A645" s="34"/>
      <c r="B645" s="34"/>
      <c r="C645" s="34"/>
      <c r="D645" s="34"/>
      <c r="M645" s="10"/>
    </row>
    <row r="646" spans="1:13" ht="12.3">
      <c r="A646" s="34"/>
      <c r="B646" s="34"/>
      <c r="C646" s="34"/>
      <c r="D646" s="34"/>
      <c r="M646" s="10"/>
    </row>
    <row r="647" spans="1:13" ht="12.3">
      <c r="A647" s="34"/>
      <c r="B647" s="34"/>
      <c r="C647" s="34"/>
      <c r="D647" s="34"/>
      <c r="M647" s="10"/>
    </row>
    <row r="648" spans="1:13" ht="12.3">
      <c r="A648" s="34"/>
      <c r="B648" s="34"/>
      <c r="C648" s="34"/>
      <c r="D648" s="34"/>
      <c r="M648" s="10"/>
    </row>
    <row r="649" spans="1:13" ht="12.3">
      <c r="A649" s="34"/>
      <c r="B649" s="34"/>
      <c r="C649" s="34"/>
      <c r="D649" s="34"/>
      <c r="M649" s="10"/>
    </row>
    <row r="650" spans="1:13" ht="12.3">
      <c r="A650" s="34"/>
      <c r="B650" s="34"/>
      <c r="C650" s="34"/>
      <c r="D650" s="34"/>
      <c r="M650" s="10"/>
    </row>
    <row r="651" spans="1:13" ht="12.3">
      <c r="A651" s="34"/>
      <c r="B651" s="34"/>
      <c r="C651" s="34"/>
      <c r="D651" s="34"/>
      <c r="M651" s="10"/>
    </row>
    <row r="652" spans="1:13" ht="12.3">
      <c r="A652" s="34"/>
      <c r="B652" s="34"/>
      <c r="C652" s="34"/>
      <c r="D652" s="34"/>
      <c r="M652" s="10"/>
    </row>
    <row r="653" spans="1:13" ht="12.3">
      <c r="A653" s="34"/>
      <c r="B653" s="34"/>
      <c r="C653" s="34"/>
      <c r="D653" s="34"/>
      <c r="M653" s="10"/>
    </row>
    <row r="654" spans="1:13" ht="12.3">
      <c r="A654" s="34"/>
      <c r="B654" s="34"/>
      <c r="C654" s="34"/>
      <c r="D654" s="34"/>
      <c r="M654" s="10"/>
    </row>
    <row r="655" spans="1:13" ht="12.3">
      <c r="A655" s="34"/>
      <c r="B655" s="34"/>
      <c r="C655" s="34"/>
      <c r="D655" s="34"/>
      <c r="M655" s="10"/>
    </row>
    <row r="656" spans="1:13" ht="12.3">
      <c r="A656" s="34"/>
      <c r="B656" s="34"/>
      <c r="C656" s="34"/>
      <c r="D656" s="34"/>
      <c r="M656" s="10"/>
    </row>
    <row r="657" spans="1:13" ht="12.3">
      <c r="A657" s="34"/>
      <c r="B657" s="34"/>
      <c r="C657" s="34"/>
      <c r="D657" s="34"/>
      <c r="M657" s="10"/>
    </row>
    <row r="658" spans="1:13" ht="12.3">
      <c r="A658" s="34"/>
      <c r="B658" s="34"/>
      <c r="C658" s="34"/>
      <c r="D658" s="34"/>
      <c r="M658" s="10"/>
    </row>
    <row r="659" spans="1:13" ht="12.3">
      <c r="A659" s="34"/>
      <c r="B659" s="34"/>
      <c r="C659" s="34"/>
      <c r="D659" s="34"/>
      <c r="M659" s="10"/>
    </row>
    <row r="660" spans="1:13" ht="12.3">
      <c r="A660" s="34"/>
      <c r="B660" s="34"/>
      <c r="C660" s="34"/>
      <c r="D660" s="34"/>
      <c r="M660" s="10"/>
    </row>
    <row r="661" spans="1:13" ht="12.3">
      <c r="A661" s="34"/>
      <c r="B661" s="34"/>
      <c r="C661" s="34"/>
      <c r="D661" s="34"/>
      <c r="M661" s="10"/>
    </row>
    <row r="662" spans="1:13" ht="12.3">
      <c r="A662" s="34"/>
      <c r="B662" s="34"/>
      <c r="C662" s="34"/>
      <c r="D662" s="34"/>
      <c r="M662" s="10"/>
    </row>
    <row r="663" spans="1:13" ht="12.3">
      <c r="A663" s="34"/>
      <c r="B663" s="34"/>
      <c r="C663" s="34"/>
      <c r="D663" s="34"/>
      <c r="M663" s="10"/>
    </row>
    <row r="664" spans="1:13" ht="12.3">
      <c r="A664" s="34"/>
      <c r="B664" s="34"/>
      <c r="C664" s="34"/>
      <c r="D664" s="34"/>
      <c r="M664" s="10"/>
    </row>
    <row r="665" spans="1:13" ht="12.3">
      <c r="A665" s="34"/>
      <c r="B665" s="34"/>
      <c r="C665" s="34"/>
      <c r="D665" s="34"/>
      <c r="M665" s="10"/>
    </row>
    <row r="666" spans="1:13" ht="12.3">
      <c r="A666" s="34"/>
      <c r="B666" s="34"/>
      <c r="C666" s="34"/>
      <c r="D666" s="34"/>
      <c r="M666" s="10"/>
    </row>
    <row r="667" spans="1:13" ht="12.3">
      <c r="A667" s="34"/>
      <c r="B667" s="34"/>
      <c r="C667" s="34"/>
      <c r="D667" s="34"/>
      <c r="M667" s="10"/>
    </row>
    <row r="668" spans="1:13" ht="12.3">
      <c r="A668" s="34"/>
      <c r="B668" s="34"/>
      <c r="C668" s="34"/>
      <c r="D668" s="34"/>
      <c r="M668" s="10"/>
    </row>
    <row r="669" spans="1:13" ht="12.3">
      <c r="A669" s="34"/>
      <c r="B669" s="34"/>
      <c r="C669" s="34"/>
      <c r="D669" s="34"/>
      <c r="M669" s="10"/>
    </row>
    <row r="670" spans="1:13" ht="12.3">
      <c r="A670" s="34"/>
      <c r="B670" s="34"/>
      <c r="C670" s="34"/>
      <c r="D670" s="34"/>
      <c r="M670" s="10"/>
    </row>
    <row r="671" spans="1:13" ht="12.3">
      <c r="A671" s="34"/>
      <c r="B671" s="34"/>
      <c r="C671" s="34"/>
      <c r="D671" s="34"/>
      <c r="M671" s="10"/>
    </row>
    <row r="672" spans="1:13" ht="12.3">
      <c r="A672" s="34"/>
      <c r="B672" s="34"/>
      <c r="C672" s="34"/>
      <c r="D672" s="34"/>
      <c r="M672" s="10"/>
    </row>
    <row r="673" spans="1:13" ht="12.3">
      <c r="A673" s="34"/>
      <c r="B673" s="34"/>
      <c r="C673" s="34"/>
      <c r="D673" s="34"/>
      <c r="M673" s="10"/>
    </row>
    <row r="674" spans="1:13" ht="12.3">
      <c r="A674" s="34"/>
      <c r="B674" s="34"/>
      <c r="C674" s="34"/>
      <c r="D674" s="34"/>
      <c r="M674" s="10"/>
    </row>
    <row r="675" spans="1:13" ht="12.3">
      <c r="A675" s="34"/>
      <c r="B675" s="34"/>
      <c r="C675" s="34"/>
      <c r="D675" s="34"/>
      <c r="M675" s="10"/>
    </row>
    <row r="676" spans="1:13" ht="12.3">
      <c r="A676" s="34"/>
      <c r="B676" s="34"/>
      <c r="C676" s="34"/>
      <c r="D676" s="34"/>
      <c r="M676" s="10"/>
    </row>
    <row r="677" spans="1:13" ht="12.3">
      <c r="A677" s="34"/>
      <c r="B677" s="34"/>
      <c r="C677" s="34"/>
      <c r="D677" s="34"/>
      <c r="M677" s="10"/>
    </row>
    <row r="678" spans="1:13" ht="12.3">
      <c r="A678" s="34"/>
      <c r="B678" s="34"/>
      <c r="C678" s="34"/>
      <c r="D678" s="34"/>
      <c r="M678" s="10"/>
    </row>
    <row r="679" spans="1:13" ht="12.3">
      <c r="A679" s="34"/>
      <c r="B679" s="34"/>
      <c r="C679" s="34"/>
      <c r="D679" s="34"/>
      <c r="M679" s="10"/>
    </row>
    <row r="680" spans="1:13" ht="12.3">
      <c r="A680" s="34"/>
      <c r="B680" s="34"/>
      <c r="C680" s="34"/>
      <c r="D680" s="34"/>
      <c r="M680" s="10"/>
    </row>
    <row r="681" spans="1:13" ht="12.3">
      <c r="A681" s="34"/>
      <c r="B681" s="34"/>
      <c r="C681" s="34"/>
      <c r="D681" s="34"/>
      <c r="M681" s="10"/>
    </row>
    <row r="682" spans="1:13" ht="12.3">
      <c r="A682" s="34"/>
      <c r="B682" s="34"/>
      <c r="C682" s="34"/>
      <c r="D682" s="34"/>
      <c r="M682" s="10"/>
    </row>
    <row r="683" spans="1:13" ht="12.3">
      <c r="A683" s="34"/>
      <c r="B683" s="34"/>
      <c r="C683" s="34"/>
      <c r="D683" s="34"/>
      <c r="M683" s="10"/>
    </row>
    <row r="684" spans="1:13" ht="12.3">
      <c r="A684" s="34"/>
      <c r="B684" s="34"/>
      <c r="C684" s="34"/>
      <c r="D684" s="34"/>
      <c r="M684" s="10"/>
    </row>
    <row r="685" spans="1:13" ht="12.3">
      <c r="A685" s="34"/>
      <c r="B685" s="34"/>
      <c r="C685" s="34"/>
      <c r="D685" s="34"/>
      <c r="M685" s="10"/>
    </row>
    <row r="686" spans="1:13" ht="12.3">
      <c r="A686" s="34"/>
      <c r="B686" s="34"/>
      <c r="C686" s="34"/>
      <c r="D686" s="34"/>
      <c r="M686" s="10"/>
    </row>
    <row r="687" spans="1:13" ht="12.3">
      <c r="A687" s="34"/>
      <c r="B687" s="34"/>
      <c r="C687" s="34"/>
      <c r="D687" s="34"/>
      <c r="M687" s="10"/>
    </row>
    <row r="688" spans="1:13" ht="12.3">
      <c r="A688" s="34"/>
      <c r="B688" s="34"/>
      <c r="C688" s="34"/>
      <c r="D688" s="34"/>
      <c r="M688" s="10"/>
    </row>
    <row r="689" spans="1:13" ht="12.3">
      <c r="A689" s="34"/>
      <c r="B689" s="34"/>
      <c r="C689" s="34"/>
      <c r="D689" s="34"/>
      <c r="M689" s="10"/>
    </row>
    <row r="690" spans="1:13" ht="12.3">
      <c r="A690" s="34"/>
      <c r="B690" s="34"/>
      <c r="C690" s="34"/>
      <c r="D690" s="34"/>
      <c r="M690" s="10"/>
    </row>
    <row r="691" spans="1:13" ht="12.3">
      <c r="A691" s="34"/>
      <c r="B691" s="34"/>
      <c r="C691" s="34"/>
      <c r="D691" s="34"/>
      <c r="M691" s="10"/>
    </row>
    <row r="692" spans="1:13" ht="12.3">
      <c r="A692" s="34"/>
      <c r="B692" s="34"/>
      <c r="C692" s="34"/>
      <c r="D692" s="34"/>
      <c r="M692" s="10"/>
    </row>
    <row r="693" spans="1:13" ht="12.3">
      <c r="A693" s="34"/>
      <c r="B693" s="34"/>
      <c r="C693" s="34"/>
      <c r="D693" s="34"/>
      <c r="M693" s="10"/>
    </row>
    <row r="694" spans="1:13" ht="12.3">
      <c r="A694" s="34"/>
      <c r="B694" s="34"/>
      <c r="C694" s="34"/>
      <c r="D694" s="34"/>
      <c r="M694" s="10"/>
    </row>
    <row r="695" spans="1:13" ht="12.3">
      <c r="A695" s="34"/>
      <c r="B695" s="34"/>
      <c r="C695" s="34"/>
      <c r="D695" s="34"/>
      <c r="M695" s="10"/>
    </row>
    <row r="696" spans="1:13" ht="12.3">
      <c r="A696" s="34"/>
      <c r="B696" s="34"/>
      <c r="C696" s="34"/>
      <c r="D696" s="34"/>
      <c r="M696" s="10"/>
    </row>
    <row r="697" spans="1:13" ht="12.3">
      <c r="A697" s="34"/>
      <c r="B697" s="34"/>
      <c r="C697" s="34"/>
      <c r="D697" s="34"/>
      <c r="M697" s="10"/>
    </row>
    <row r="698" spans="1:13" ht="12.3">
      <c r="A698" s="34"/>
      <c r="B698" s="34"/>
      <c r="C698" s="34"/>
      <c r="D698" s="34"/>
      <c r="M698" s="10"/>
    </row>
    <row r="699" spans="1:13" ht="12.3">
      <c r="A699" s="34"/>
      <c r="B699" s="34"/>
      <c r="C699" s="34"/>
      <c r="D699" s="34"/>
      <c r="M699" s="10"/>
    </row>
    <row r="700" spans="1:13" ht="12.3">
      <c r="A700" s="34"/>
      <c r="B700" s="34"/>
      <c r="C700" s="34"/>
      <c r="D700" s="34"/>
      <c r="M700" s="10"/>
    </row>
    <row r="701" spans="1:13" ht="12.3">
      <c r="A701" s="34"/>
      <c r="B701" s="34"/>
      <c r="C701" s="34"/>
      <c r="D701" s="34"/>
      <c r="M701" s="10"/>
    </row>
    <row r="702" spans="1:13" ht="12.3">
      <c r="A702" s="34"/>
      <c r="B702" s="34"/>
      <c r="C702" s="34"/>
      <c r="D702" s="34"/>
      <c r="M702" s="10"/>
    </row>
    <row r="703" spans="1:13" ht="12.3">
      <c r="A703" s="34"/>
      <c r="B703" s="34"/>
      <c r="C703" s="34"/>
      <c r="D703" s="34"/>
      <c r="M703" s="10"/>
    </row>
    <row r="704" spans="1:13" ht="12.3">
      <c r="A704" s="34"/>
      <c r="B704" s="34"/>
      <c r="C704" s="34"/>
      <c r="D704" s="34"/>
      <c r="M704" s="10"/>
    </row>
    <row r="705" spans="1:13" ht="12.3">
      <c r="A705" s="34"/>
      <c r="B705" s="34"/>
      <c r="C705" s="34"/>
      <c r="D705" s="34"/>
      <c r="M705" s="10"/>
    </row>
    <row r="706" spans="1:13" ht="12.3">
      <c r="A706" s="34"/>
      <c r="B706" s="34"/>
      <c r="C706" s="34"/>
      <c r="D706" s="34"/>
      <c r="M706" s="10"/>
    </row>
    <row r="707" spans="1:13" ht="12.3">
      <c r="A707" s="34"/>
      <c r="B707" s="34"/>
      <c r="C707" s="34"/>
      <c r="D707" s="34"/>
      <c r="M707" s="10"/>
    </row>
    <row r="708" spans="1:13" ht="12.3">
      <c r="A708" s="34"/>
      <c r="B708" s="34"/>
      <c r="C708" s="34"/>
      <c r="D708" s="34"/>
      <c r="M708" s="10"/>
    </row>
    <row r="709" spans="1:13" ht="12.3">
      <c r="A709" s="34"/>
      <c r="B709" s="34"/>
      <c r="C709" s="34"/>
      <c r="D709" s="34"/>
      <c r="M709" s="10"/>
    </row>
    <row r="710" spans="1:13" ht="12.3">
      <c r="A710" s="34"/>
      <c r="B710" s="34"/>
      <c r="C710" s="34"/>
      <c r="D710" s="34"/>
      <c r="M710" s="10"/>
    </row>
    <row r="711" spans="1:13" ht="12.3">
      <c r="A711" s="34"/>
      <c r="B711" s="34"/>
      <c r="C711" s="34"/>
      <c r="D711" s="34"/>
      <c r="M711" s="10"/>
    </row>
    <row r="712" spans="1:13" ht="12.3">
      <c r="A712" s="34"/>
      <c r="B712" s="34"/>
      <c r="C712" s="34"/>
      <c r="D712" s="34"/>
      <c r="M712" s="10"/>
    </row>
    <row r="713" spans="1:13" ht="12.3">
      <c r="A713" s="34"/>
      <c r="B713" s="34"/>
      <c r="C713" s="34"/>
      <c r="D713" s="34"/>
      <c r="M713" s="10"/>
    </row>
    <row r="714" spans="1:13" ht="12.3">
      <c r="A714" s="34"/>
      <c r="B714" s="34"/>
      <c r="C714" s="34"/>
      <c r="D714" s="34"/>
      <c r="M714" s="10"/>
    </row>
    <row r="715" spans="1:13" ht="12.3">
      <c r="A715" s="34"/>
      <c r="B715" s="34"/>
      <c r="C715" s="34"/>
      <c r="D715" s="34"/>
      <c r="M715" s="10"/>
    </row>
    <row r="716" spans="1:13" ht="12.3">
      <c r="A716" s="34"/>
      <c r="B716" s="34"/>
      <c r="C716" s="34"/>
      <c r="D716" s="34"/>
      <c r="M716" s="10"/>
    </row>
    <row r="717" spans="1:13" ht="12.3">
      <c r="A717" s="34"/>
      <c r="B717" s="34"/>
      <c r="C717" s="34"/>
      <c r="D717" s="34"/>
      <c r="M717" s="10"/>
    </row>
    <row r="718" spans="1:13" ht="12.3">
      <c r="A718" s="34"/>
      <c r="B718" s="34"/>
      <c r="C718" s="34"/>
      <c r="D718" s="34"/>
      <c r="M718" s="10"/>
    </row>
    <row r="719" spans="1:13" ht="12.3">
      <c r="A719" s="34"/>
      <c r="B719" s="34"/>
      <c r="C719" s="34"/>
      <c r="D719" s="34"/>
      <c r="M719" s="10"/>
    </row>
    <row r="720" spans="1:13" ht="12.3">
      <c r="A720" s="34"/>
      <c r="B720" s="34"/>
      <c r="C720" s="34"/>
      <c r="D720" s="34"/>
      <c r="M720" s="10"/>
    </row>
    <row r="721" spans="1:13" ht="12.3">
      <c r="A721" s="34"/>
      <c r="B721" s="34"/>
      <c r="C721" s="34"/>
      <c r="D721" s="34"/>
      <c r="M721" s="10"/>
    </row>
    <row r="722" spans="1:13" ht="12.3">
      <c r="A722" s="34"/>
      <c r="B722" s="34"/>
      <c r="C722" s="34"/>
      <c r="D722" s="34"/>
      <c r="M722" s="10"/>
    </row>
    <row r="723" spans="1:13" ht="12.3">
      <c r="A723" s="34"/>
      <c r="B723" s="34"/>
      <c r="C723" s="34"/>
      <c r="D723" s="34"/>
      <c r="M723" s="10"/>
    </row>
    <row r="724" spans="1:13" ht="12.3">
      <c r="A724" s="34"/>
      <c r="B724" s="34"/>
      <c r="C724" s="34"/>
      <c r="D724" s="34"/>
      <c r="M724" s="10"/>
    </row>
    <row r="725" spans="1:13" ht="12.3">
      <c r="A725" s="34"/>
      <c r="B725" s="34"/>
      <c r="C725" s="34"/>
      <c r="D725" s="34"/>
      <c r="M725" s="10"/>
    </row>
    <row r="726" spans="1:13" ht="12.3">
      <c r="A726" s="34"/>
      <c r="B726" s="34"/>
      <c r="C726" s="34"/>
      <c r="D726" s="34"/>
      <c r="M726" s="10"/>
    </row>
    <row r="727" spans="1:13" ht="12.3">
      <c r="A727" s="34"/>
      <c r="B727" s="34"/>
      <c r="C727" s="34"/>
      <c r="D727" s="34"/>
      <c r="M727" s="10"/>
    </row>
    <row r="728" spans="1:13" ht="12.3">
      <c r="A728" s="34"/>
      <c r="B728" s="34"/>
      <c r="C728" s="34"/>
      <c r="D728" s="34"/>
      <c r="M728" s="10"/>
    </row>
    <row r="729" spans="1:13" ht="12.3">
      <c r="A729" s="34"/>
      <c r="B729" s="34"/>
      <c r="C729" s="34"/>
      <c r="D729" s="34"/>
      <c r="M729" s="10"/>
    </row>
    <row r="730" spans="1:13" ht="12.3">
      <c r="A730" s="34"/>
      <c r="B730" s="34"/>
      <c r="C730" s="34"/>
      <c r="D730" s="34"/>
      <c r="M730" s="10"/>
    </row>
    <row r="731" spans="1:13" ht="12.3">
      <c r="A731" s="34"/>
      <c r="B731" s="34"/>
      <c r="C731" s="34"/>
      <c r="D731" s="34"/>
      <c r="M731" s="10"/>
    </row>
    <row r="732" spans="1:13" ht="12.3">
      <c r="A732" s="34"/>
      <c r="B732" s="34"/>
      <c r="C732" s="34"/>
      <c r="D732" s="34"/>
      <c r="M732" s="10"/>
    </row>
    <row r="733" spans="1:13" ht="12.3">
      <c r="A733" s="34"/>
      <c r="B733" s="34"/>
      <c r="C733" s="34"/>
      <c r="D733" s="34"/>
      <c r="M733" s="10"/>
    </row>
    <row r="734" spans="1:13" ht="12.3">
      <c r="A734" s="34"/>
      <c r="B734" s="34"/>
      <c r="C734" s="34"/>
      <c r="D734" s="34"/>
      <c r="M734" s="10"/>
    </row>
    <row r="735" spans="1:13" ht="12.3">
      <c r="A735" s="34"/>
      <c r="B735" s="34"/>
      <c r="C735" s="34"/>
      <c r="D735" s="34"/>
      <c r="M735" s="10"/>
    </row>
    <row r="736" spans="1:13" ht="12.3">
      <c r="A736" s="34"/>
      <c r="B736" s="34"/>
      <c r="C736" s="34"/>
      <c r="D736" s="34"/>
      <c r="M736" s="10"/>
    </row>
    <row r="737" spans="1:13" ht="12.3">
      <c r="A737" s="34"/>
      <c r="B737" s="34"/>
      <c r="C737" s="34"/>
      <c r="D737" s="34"/>
      <c r="M737" s="10"/>
    </row>
    <row r="738" spans="1:13" ht="12.3">
      <c r="A738" s="34"/>
      <c r="B738" s="34"/>
      <c r="C738" s="34"/>
      <c r="D738" s="34"/>
      <c r="M738" s="10"/>
    </row>
    <row r="739" spans="1:13" ht="12.3">
      <c r="A739" s="34"/>
      <c r="B739" s="34"/>
      <c r="C739" s="34"/>
      <c r="D739" s="34"/>
      <c r="M739" s="10"/>
    </row>
    <row r="740" spans="1:13" ht="12.3">
      <c r="A740" s="34"/>
      <c r="B740" s="34"/>
      <c r="C740" s="34"/>
      <c r="D740" s="34"/>
      <c r="M740" s="10"/>
    </row>
    <row r="741" spans="1:13" ht="12.3">
      <c r="A741" s="34"/>
      <c r="B741" s="34"/>
      <c r="C741" s="34"/>
      <c r="D741" s="34"/>
      <c r="M741" s="10"/>
    </row>
    <row r="742" spans="1:13" ht="12.3">
      <c r="A742" s="34"/>
      <c r="B742" s="34"/>
      <c r="C742" s="34"/>
      <c r="D742" s="34"/>
      <c r="M742" s="10"/>
    </row>
    <row r="743" spans="1:13" ht="12.3">
      <c r="A743" s="34"/>
      <c r="B743" s="34"/>
      <c r="C743" s="34"/>
      <c r="D743" s="34"/>
      <c r="M743" s="10"/>
    </row>
    <row r="744" spans="1:13" ht="12.3">
      <c r="A744" s="34"/>
      <c r="B744" s="34"/>
      <c r="C744" s="34"/>
      <c r="D744" s="34"/>
      <c r="M744" s="10"/>
    </row>
    <row r="745" spans="1:13" ht="12.3">
      <c r="A745" s="34"/>
      <c r="B745" s="34"/>
      <c r="C745" s="34"/>
      <c r="D745" s="34"/>
      <c r="M745" s="10"/>
    </row>
    <row r="746" spans="1:13" ht="12.3">
      <c r="A746" s="34"/>
      <c r="B746" s="34"/>
      <c r="C746" s="34"/>
      <c r="D746" s="34"/>
      <c r="M746" s="10"/>
    </row>
    <row r="747" spans="1:13" ht="12.3">
      <c r="A747" s="34"/>
      <c r="B747" s="34"/>
      <c r="C747" s="34"/>
      <c r="D747" s="34"/>
      <c r="M747" s="10"/>
    </row>
    <row r="748" spans="1:13" ht="12.3">
      <c r="A748" s="34"/>
      <c r="B748" s="34"/>
      <c r="C748" s="34"/>
      <c r="D748" s="34"/>
      <c r="M748" s="10"/>
    </row>
    <row r="749" spans="1:13" ht="12.3">
      <c r="A749" s="34"/>
      <c r="B749" s="34"/>
      <c r="C749" s="34"/>
      <c r="D749" s="34"/>
      <c r="M749" s="10"/>
    </row>
    <row r="750" spans="1:13" ht="12.3">
      <c r="A750" s="34"/>
      <c r="B750" s="34"/>
      <c r="C750" s="34"/>
      <c r="D750" s="34"/>
      <c r="M750" s="10"/>
    </row>
    <row r="751" spans="1:13" ht="12.3">
      <c r="A751" s="34"/>
      <c r="B751" s="34"/>
      <c r="C751" s="34"/>
      <c r="D751" s="34"/>
      <c r="M751" s="10"/>
    </row>
    <row r="752" spans="1:13" ht="12.3">
      <c r="A752" s="34"/>
      <c r="B752" s="34"/>
      <c r="C752" s="34"/>
      <c r="D752" s="34"/>
      <c r="M752" s="10"/>
    </row>
    <row r="753" spans="1:13" ht="12.3">
      <c r="A753" s="34"/>
      <c r="B753" s="34"/>
      <c r="C753" s="34"/>
      <c r="D753" s="34"/>
      <c r="M753" s="10"/>
    </row>
    <row r="754" spans="1:13" ht="12.3">
      <c r="A754" s="34"/>
      <c r="B754" s="34"/>
      <c r="C754" s="34"/>
      <c r="D754" s="34"/>
      <c r="M754" s="10"/>
    </row>
    <row r="755" spans="1:13" ht="12.3">
      <c r="A755" s="34"/>
      <c r="B755" s="34"/>
      <c r="C755" s="34"/>
      <c r="D755" s="34"/>
      <c r="M755" s="10"/>
    </row>
    <row r="756" spans="1:13" ht="12.3">
      <c r="A756" s="34"/>
      <c r="B756" s="34"/>
      <c r="C756" s="34"/>
      <c r="D756" s="34"/>
      <c r="M756" s="10"/>
    </row>
    <row r="757" spans="1:13" ht="12.3">
      <c r="A757" s="34"/>
      <c r="B757" s="34"/>
      <c r="C757" s="34"/>
      <c r="D757" s="34"/>
      <c r="M757" s="10"/>
    </row>
    <row r="758" spans="1:13" ht="12.3">
      <c r="A758" s="34"/>
      <c r="B758" s="34"/>
      <c r="C758" s="34"/>
      <c r="D758" s="34"/>
      <c r="M758" s="10"/>
    </row>
    <row r="759" spans="1:13" ht="12.3">
      <c r="A759" s="34"/>
      <c r="B759" s="34"/>
      <c r="C759" s="34"/>
      <c r="D759" s="34"/>
      <c r="M759" s="10"/>
    </row>
    <row r="760" spans="1:13" ht="12.3">
      <c r="A760" s="34"/>
      <c r="B760" s="34"/>
      <c r="C760" s="34"/>
      <c r="D760" s="34"/>
      <c r="M760" s="10"/>
    </row>
    <row r="761" spans="1:13" ht="12.3">
      <c r="A761" s="34"/>
      <c r="B761" s="34"/>
      <c r="C761" s="34"/>
      <c r="D761" s="34"/>
      <c r="M761" s="10"/>
    </row>
    <row r="762" spans="1:13" ht="12.3">
      <c r="A762" s="34"/>
      <c r="B762" s="34"/>
      <c r="C762" s="34"/>
      <c r="D762" s="34"/>
      <c r="M762" s="10"/>
    </row>
    <row r="763" spans="1:13" ht="12.3">
      <c r="A763" s="34"/>
      <c r="B763" s="34"/>
      <c r="C763" s="34"/>
      <c r="D763" s="34"/>
      <c r="M763" s="10"/>
    </row>
    <row r="764" spans="1:13" ht="12.3">
      <c r="A764" s="34"/>
      <c r="B764" s="34"/>
      <c r="C764" s="34"/>
      <c r="D764" s="34"/>
      <c r="M764" s="10"/>
    </row>
    <row r="765" spans="1:13" ht="12.3">
      <c r="A765" s="34"/>
      <c r="B765" s="34"/>
      <c r="C765" s="34"/>
      <c r="D765" s="34"/>
      <c r="M765" s="10"/>
    </row>
    <row r="766" spans="1:13" ht="12.3">
      <c r="A766" s="34"/>
      <c r="B766" s="34"/>
      <c r="C766" s="34"/>
      <c r="D766" s="34"/>
      <c r="M766" s="10"/>
    </row>
    <row r="767" spans="1:13" ht="12.3">
      <c r="A767" s="34"/>
      <c r="B767" s="34"/>
      <c r="C767" s="34"/>
      <c r="D767" s="34"/>
      <c r="M767" s="10"/>
    </row>
    <row r="768" spans="1:13" ht="12.3">
      <c r="A768" s="34"/>
      <c r="B768" s="34"/>
      <c r="C768" s="34"/>
      <c r="D768" s="34"/>
      <c r="M768" s="10"/>
    </row>
    <row r="769" spans="1:13" ht="12.3">
      <c r="A769" s="34"/>
      <c r="B769" s="34"/>
      <c r="C769" s="34"/>
      <c r="D769" s="34"/>
      <c r="M769" s="10"/>
    </row>
    <row r="770" spans="1:13" ht="12.3">
      <c r="A770" s="34"/>
      <c r="B770" s="34"/>
      <c r="C770" s="34"/>
      <c r="D770" s="34"/>
      <c r="M770" s="10"/>
    </row>
    <row r="771" spans="1:13" ht="12.3">
      <c r="A771" s="34"/>
      <c r="B771" s="34"/>
      <c r="C771" s="34"/>
      <c r="D771" s="34"/>
      <c r="M771" s="10"/>
    </row>
    <row r="772" spans="1:13" ht="12.3">
      <c r="A772" s="34"/>
      <c r="B772" s="34"/>
      <c r="C772" s="34"/>
      <c r="D772" s="34"/>
      <c r="M772" s="10"/>
    </row>
    <row r="773" spans="1:13" ht="12.3">
      <c r="A773" s="34"/>
      <c r="B773" s="34"/>
      <c r="C773" s="34"/>
      <c r="D773" s="34"/>
      <c r="M773" s="10"/>
    </row>
    <row r="774" spans="1:13" ht="12.3">
      <c r="A774" s="34"/>
      <c r="B774" s="34"/>
      <c r="C774" s="34"/>
      <c r="D774" s="34"/>
      <c r="M774" s="10"/>
    </row>
    <row r="775" spans="1:13" ht="12.3">
      <c r="A775" s="34"/>
      <c r="B775" s="34"/>
      <c r="C775" s="34"/>
      <c r="D775" s="34"/>
      <c r="M775" s="10"/>
    </row>
    <row r="776" spans="1:13" ht="12.3">
      <c r="A776" s="34"/>
      <c r="B776" s="34"/>
      <c r="C776" s="34"/>
      <c r="D776" s="34"/>
      <c r="M776" s="10"/>
    </row>
    <row r="777" spans="1:13" ht="12.3">
      <c r="A777" s="34"/>
      <c r="B777" s="34"/>
      <c r="C777" s="34"/>
      <c r="D777" s="34"/>
      <c r="M777" s="10"/>
    </row>
    <row r="778" spans="1:13" ht="12.3">
      <c r="A778" s="34"/>
      <c r="B778" s="34"/>
      <c r="C778" s="34"/>
      <c r="D778" s="34"/>
      <c r="M778" s="10"/>
    </row>
    <row r="779" spans="1:13" ht="12.3">
      <c r="A779" s="34"/>
      <c r="B779" s="34"/>
      <c r="C779" s="34"/>
      <c r="D779" s="34"/>
      <c r="M779" s="10"/>
    </row>
    <row r="780" spans="1:13" ht="12.3">
      <c r="A780" s="34"/>
      <c r="B780" s="34"/>
      <c r="C780" s="34"/>
      <c r="D780" s="34"/>
      <c r="M780" s="10"/>
    </row>
    <row r="781" spans="1:13" ht="12.3">
      <c r="A781" s="34"/>
      <c r="B781" s="34"/>
      <c r="C781" s="34"/>
      <c r="D781" s="34"/>
      <c r="M781" s="10"/>
    </row>
    <row r="782" spans="1:13" ht="12.3">
      <c r="A782" s="34"/>
      <c r="B782" s="34"/>
      <c r="C782" s="34"/>
      <c r="D782" s="34"/>
      <c r="M782" s="10"/>
    </row>
    <row r="783" spans="1:13" ht="12.3">
      <c r="A783" s="34"/>
      <c r="B783" s="34"/>
      <c r="C783" s="34"/>
      <c r="D783" s="34"/>
      <c r="M783" s="10"/>
    </row>
    <row r="784" spans="1:13" ht="12.3">
      <c r="A784" s="34"/>
      <c r="B784" s="34"/>
      <c r="C784" s="34"/>
      <c r="D784" s="34"/>
      <c r="M784" s="10"/>
    </row>
    <row r="785" spans="1:13" ht="12.3">
      <c r="A785" s="34"/>
      <c r="B785" s="34"/>
      <c r="C785" s="34"/>
      <c r="D785" s="34"/>
      <c r="M785" s="10"/>
    </row>
    <row r="786" spans="1:13" ht="12.3">
      <c r="A786" s="34"/>
      <c r="B786" s="34"/>
      <c r="C786" s="34"/>
      <c r="D786" s="34"/>
      <c r="M786" s="10"/>
    </row>
    <row r="787" spans="1:13" ht="12.3">
      <c r="A787" s="34"/>
      <c r="B787" s="34"/>
      <c r="C787" s="34"/>
      <c r="D787" s="34"/>
      <c r="M787" s="10"/>
    </row>
    <row r="788" spans="1:13" ht="12.3">
      <c r="A788" s="34"/>
      <c r="B788" s="34"/>
      <c r="C788" s="34"/>
      <c r="D788" s="34"/>
      <c r="M788" s="10"/>
    </row>
    <row r="789" spans="1:13" ht="12.3">
      <c r="A789" s="34"/>
      <c r="B789" s="34"/>
      <c r="C789" s="34"/>
      <c r="D789" s="34"/>
      <c r="M789" s="10"/>
    </row>
    <row r="790" spans="1:13" ht="12.3">
      <c r="A790" s="34"/>
      <c r="B790" s="34"/>
      <c r="C790" s="34"/>
      <c r="D790" s="34"/>
      <c r="M790" s="10"/>
    </row>
    <row r="791" spans="1:13" ht="12.3">
      <c r="A791" s="34"/>
      <c r="B791" s="34"/>
      <c r="C791" s="34"/>
      <c r="D791" s="34"/>
      <c r="M791" s="10"/>
    </row>
    <row r="792" spans="1:13" ht="12.3">
      <c r="A792" s="34"/>
      <c r="B792" s="34"/>
      <c r="C792" s="34"/>
      <c r="D792" s="34"/>
      <c r="M792" s="10"/>
    </row>
    <row r="793" spans="1:13" ht="12.3">
      <c r="A793" s="34"/>
      <c r="B793" s="34"/>
      <c r="C793" s="34"/>
      <c r="D793" s="34"/>
      <c r="M793" s="10"/>
    </row>
    <row r="794" spans="1:13" ht="12.3">
      <c r="A794" s="34"/>
      <c r="B794" s="34"/>
      <c r="C794" s="34"/>
      <c r="D794" s="34"/>
      <c r="M794" s="10"/>
    </row>
    <row r="795" spans="1:13" ht="12.3">
      <c r="A795" s="34"/>
      <c r="B795" s="34"/>
      <c r="C795" s="34"/>
      <c r="D795" s="34"/>
      <c r="M795" s="10"/>
    </row>
    <row r="796" spans="1:13" ht="12.3">
      <c r="A796" s="34"/>
      <c r="B796" s="34"/>
      <c r="C796" s="34"/>
      <c r="D796" s="34"/>
      <c r="M796" s="10"/>
    </row>
    <row r="797" spans="1:13" ht="12.3">
      <c r="A797" s="34"/>
      <c r="B797" s="34"/>
      <c r="C797" s="34"/>
      <c r="D797" s="34"/>
      <c r="M797" s="10"/>
    </row>
    <row r="798" spans="1:13" ht="12.3">
      <c r="A798" s="34"/>
      <c r="B798" s="34"/>
      <c r="C798" s="34"/>
      <c r="D798" s="34"/>
      <c r="M798" s="10"/>
    </row>
    <row r="799" spans="1:13" ht="12.3">
      <c r="A799" s="34"/>
      <c r="B799" s="34"/>
      <c r="C799" s="34"/>
      <c r="D799" s="34"/>
      <c r="M799" s="10"/>
    </row>
    <row r="800" spans="1:13" ht="12.3">
      <c r="A800" s="34"/>
      <c r="B800" s="34"/>
      <c r="C800" s="34"/>
      <c r="D800" s="34"/>
      <c r="M800" s="10"/>
    </row>
    <row r="801" spans="1:13" ht="12.3">
      <c r="A801" s="34"/>
      <c r="B801" s="34"/>
      <c r="C801" s="34"/>
      <c r="D801" s="34"/>
      <c r="M801" s="10"/>
    </row>
    <row r="802" spans="1:13" ht="12.3">
      <c r="A802" s="34"/>
      <c r="B802" s="34"/>
      <c r="C802" s="34"/>
      <c r="D802" s="34"/>
      <c r="M802" s="10"/>
    </row>
    <row r="803" spans="1:13" ht="12.3">
      <c r="A803" s="34"/>
      <c r="B803" s="34"/>
      <c r="C803" s="34"/>
      <c r="D803" s="34"/>
      <c r="M803" s="10"/>
    </row>
    <row r="804" spans="1:13" ht="12.3">
      <c r="A804" s="34"/>
      <c r="B804" s="34"/>
      <c r="C804" s="34"/>
      <c r="D804" s="34"/>
      <c r="M804" s="10"/>
    </row>
    <row r="805" spans="1:13" ht="12.3">
      <c r="A805" s="34"/>
      <c r="B805" s="34"/>
      <c r="C805" s="34"/>
      <c r="D805" s="34"/>
      <c r="M805" s="10"/>
    </row>
    <row r="806" spans="1:13" ht="12.3">
      <c r="A806" s="34"/>
      <c r="B806" s="34"/>
      <c r="C806" s="34"/>
      <c r="D806" s="34"/>
      <c r="M806" s="10"/>
    </row>
    <row r="807" spans="1:13" ht="12.3">
      <c r="A807" s="34"/>
      <c r="B807" s="34"/>
      <c r="C807" s="34"/>
      <c r="D807" s="34"/>
      <c r="M807" s="10"/>
    </row>
    <row r="808" spans="1:13" ht="12.3">
      <c r="A808" s="34"/>
      <c r="B808" s="34"/>
      <c r="C808" s="34"/>
      <c r="D808" s="34"/>
      <c r="M808" s="10"/>
    </row>
    <row r="809" spans="1:13" ht="12.3">
      <c r="A809" s="34"/>
      <c r="B809" s="34"/>
      <c r="C809" s="34"/>
      <c r="D809" s="34"/>
      <c r="M809" s="10"/>
    </row>
    <row r="810" spans="1:13" ht="12.3">
      <c r="A810" s="34"/>
      <c r="B810" s="34"/>
      <c r="C810" s="34"/>
      <c r="D810" s="34"/>
      <c r="M810" s="10"/>
    </row>
    <row r="811" spans="1:13" ht="12.3">
      <c r="A811" s="34"/>
      <c r="B811" s="34"/>
      <c r="C811" s="34"/>
      <c r="D811" s="34"/>
      <c r="M811" s="10"/>
    </row>
    <row r="812" spans="1:13" ht="12.3">
      <c r="A812" s="34"/>
      <c r="B812" s="34"/>
      <c r="C812" s="34"/>
      <c r="D812" s="34"/>
      <c r="M812" s="10"/>
    </row>
    <row r="813" spans="1:13" ht="12.3">
      <c r="A813" s="34"/>
      <c r="B813" s="34"/>
      <c r="C813" s="34"/>
      <c r="D813" s="34"/>
      <c r="M813" s="10"/>
    </row>
    <row r="814" spans="1:13" ht="12.3">
      <c r="A814" s="34"/>
      <c r="B814" s="34"/>
      <c r="C814" s="34"/>
      <c r="D814" s="34"/>
      <c r="M814" s="10"/>
    </row>
    <row r="815" spans="1:13" ht="12.3">
      <c r="A815" s="34"/>
      <c r="B815" s="34"/>
      <c r="C815" s="34"/>
      <c r="D815" s="34"/>
      <c r="M815" s="10"/>
    </row>
    <row r="816" spans="1:13" ht="12.3">
      <c r="A816" s="34"/>
      <c r="B816" s="34"/>
      <c r="C816" s="34"/>
      <c r="D816" s="34"/>
      <c r="M816" s="10"/>
    </row>
    <row r="817" spans="1:13" ht="12.3">
      <c r="A817" s="34"/>
      <c r="B817" s="34"/>
      <c r="C817" s="34"/>
      <c r="D817" s="34"/>
      <c r="M817" s="10"/>
    </row>
    <row r="818" spans="1:13" ht="12.3">
      <c r="A818" s="34"/>
      <c r="B818" s="34"/>
      <c r="C818" s="34"/>
      <c r="D818" s="34"/>
      <c r="M818" s="10"/>
    </row>
    <row r="819" spans="1:13" ht="12.3">
      <c r="A819" s="34"/>
      <c r="B819" s="34"/>
      <c r="C819" s="34"/>
      <c r="D819" s="34"/>
      <c r="M819" s="10"/>
    </row>
    <row r="820" spans="1:13" ht="12.3">
      <c r="A820" s="34"/>
      <c r="B820" s="34"/>
      <c r="C820" s="34"/>
      <c r="D820" s="34"/>
      <c r="M820" s="10"/>
    </row>
    <row r="821" spans="1:13" ht="12.3">
      <c r="A821" s="34"/>
      <c r="B821" s="34"/>
      <c r="C821" s="34"/>
      <c r="D821" s="34"/>
      <c r="M821" s="10"/>
    </row>
    <row r="822" spans="1:13" ht="12.3">
      <c r="A822" s="34"/>
      <c r="B822" s="34"/>
      <c r="C822" s="34"/>
      <c r="D822" s="34"/>
      <c r="M822" s="10"/>
    </row>
    <row r="823" spans="1:13" ht="12.3">
      <c r="A823" s="34"/>
      <c r="B823" s="34"/>
      <c r="C823" s="34"/>
      <c r="D823" s="34"/>
      <c r="M823" s="10"/>
    </row>
    <row r="824" spans="1:13" ht="12.3">
      <c r="A824" s="34"/>
      <c r="B824" s="34"/>
      <c r="C824" s="34"/>
      <c r="D824" s="34"/>
      <c r="M824" s="10"/>
    </row>
    <row r="825" spans="1:13" ht="12.3">
      <c r="A825" s="34"/>
      <c r="B825" s="34"/>
      <c r="C825" s="34"/>
      <c r="D825" s="34"/>
      <c r="M825" s="10"/>
    </row>
    <row r="826" spans="1:13" ht="12.3">
      <c r="A826" s="34"/>
      <c r="B826" s="34"/>
      <c r="C826" s="34"/>
      <c r="D826" s="34"/>
      <c r="M826" s="10"/>
    </row>
    <row r="827" spans="1:13" ht="12.3">
      <c r="A827" s="34"/>
      <c r="B827" s="34"/>
      <c r="C827" s="34"/>
      <c r="D827" s="34"/>
      <c r="M827" s="10"/>
    </row>
    <row r="828" spans="1:13" ht="12.3">
      <c r="A828" s="34"/>
      <c r="B828" s="34"/>
      <c r="C828" s="34"/>
      <c r="D828" s="34"/>
      <c r="M828" s="10"/>
    </row>
    <row r="829" spans="1:13" ht="12.3">
      <c r="A829" s="34"/>
      <c r="B829" s="34"/>
      <c r="C829" s="34"/>
      <c r="D829" s="34"/>
      <c r="M829" s="10"/>
    </row>
    <row r="830" spans="1:13" ht="12.3">
      <c r="A830" s="34"/>
      <c r="B830" s="34"/>
      <c r="C830" s="34"/>
      <c r="D830" s="34"/>
      <c r="M830" s="10"/>
    </row>
    <row r="831" spans="1:13" ht="12.3">
      <c r="A831" s="34"/>
      <c r="B831" s="34"/>
      <c r="C831" s="34"/>
      <c r="D831" s="34"/>
      <c r="M831" s="10"/>
    </row>
    <row r="832" spans="1:13" ht="12.3">
      <c r="A832" s="34"/>
      <c r="B832" s="34"/>
      <c r="C832" s="34"/>
      <c r="D832" s="34"/>
      <c r="M832" s="10"/>
    </row>
    <row r="833" spans="1:13" ht="12.3">
      <c r="A833" s="34"/>
      <c r="B833" s="34"/>
      <c r="C833" s="34"/>
      <c r="D833" s="34"/>
      <c r="M833" s="10"/>
    </row>
    <row r="834" spans="1:13" ht="12.3">
      <c r="A834" s="34"/>
      <c r="B834" s="34"/>
      <c r="C834" s="34"/>
      <c r="D834" s="34"/>
      <c r="M834" s="10"/>
    </row>
    <row r="835" spans="1:13" ht="12.3">
      <c r="A835" s="34"/>
      <c r="B835" s="34"/>
      <c r="C835" s="34"/>
      <c r="D835" s="34"/>
      <c r="M835" s="10"/>
    </row>
    <row r="836" spans="1:13" ht="12.3">
      <c r="A836" s="34"/>
      <c r="B836" s="34"/>
      <c r="C836" s="34"/>
      <c r="D836" s="34"/>
      <c r="M836" s="10"/>
    </row>
    <row r="837" spans="1:13" ht="12.3">
      <c r="A837" s="34"/>
      <c r="B837" s="34"/>
      <c r="C837" s="34"/>
      <c r="D837" s="34"/>
      <c r="M837" s="10"/>
    </row>
    <row r="838" spans="1:13" ht="12.3">
      <c r="A838" s="34"/>
      <c r="B838" s="34"/>
      <c r="C838" s="34"/>
      <c r="D838" s="34"/>
      <c r="M838" s="10"/>
    </row>
    <row r="839" spans="1:13" ht="12.3">
      <c r="A839" s="34"/>
      <c r="B839" s="34"/>
      <c r="C839" s="34"/>
      <c r="D839" s="34"/>
      <c r="M839" s="10"/>
    </row>
    <row r="840" spans="1:13" ht="12.3">
      <c r="A840" s="34"/>
      <c r="B840" s="34"/>
      <c r="C840" s="34"/>
      <c r="D840" s="34"/>
      <c r="M840" s="10"/>
    </row>
    <row r="841" spans="1:13" ht="12.3">
      <c r="A841" s="34"/>
      <c r="B841" s="34"/>
      <c r="C841" s="34"/>
      <c r="D841" s="34"/>
      <c r="M841" s="10"/>
    </row>
    <row r="842" spans="1:13" ht="12.3">
      <c r="A842" s="34"/>
      <c r="B842" s="34"/>
      <c r="C842" s="34"/>
      <c r="D842" s="34"/>
      <c r="M842" s="10"/>
    </row>
    <row r="843" spans="1:13" ht="12.3">
      <c r="A843" s="34"/>
      <c r="B843" s="34"/>
      <c r="C843" s="34"/>
      <c r="D843" s="34"/>
      <c r="M843" s="10"/>
    </row>
    <row r="844" spans="1:13" ht="12.3">
      <c r="A844" s="34"/>
      <c r="B844" s="34"/>
      <c r="C844" s="34"/>
      <c r="D844" s="34"/>
      <c r="M844" s="10"/>
    </row>
    <row r="845" spans="1:13" ht="12.3">
      <c r="A845" s="34"/>
      <c r="B845" s="34"/>
      <c r="C845" s="34"/>
      <c r="D845" s="34"/>
      <c r="M845" s="10"/>
    </row>
    <row r="846" spans="1:13" ht="12.3">
      <c r="A846" s="34"/>
      <c r="B846" s="34"/>
      <c r="C846" s="34"/>
      <c r="D846" s="34"/>
      <c r="M846" s="10"/>
    </row>
    <row r="847" spans="1:13" ht="12.3">
      <c r="A847" s="34"/>
      <c r="B847" s="34"/>
      <c r="C847" s="34"/>
      <c r="D847" s="34"/>
      <c r="M847" s="10"/>
    </row>
    <row r="848" spans="1:13" ht="12.3">
      <c r="A848" s="34"/>
      <c r="B848" s="34"/>
      <c r="C848" s="34"/>
      <c r="D848" s="34"/>
      <c r="M848" s="10"/>
    </row>
    <row r="849" spans="1:13" ht="12.3">
      <c r="A849" s="34"/>
      <c r="B849" s="34"/>
      <c r="C849" s="34"/>
      <c r="D849" s="34"/>
      <c r="M849" s="10"/>
    </row>
    <row r="850" spans="1:13" ht="12.3">
      <c r="A850" s="34"/>
      <c r="B850" s="34"/>
      <c r="C850" s="34"/>
      <c r="D850" s="34"/>
      <c r="M850" s="10"/>
    </row>
    <row r="851" spans="1:13" ht="12.3">
      <c r="A851" s="34"/>
      <c r="B851" s="34"/>
      <c r="C851" s="34"/>
      <c r="D851" s="34"/>
      <c r="M851" s="10"/>
    </row>
    <row r="852" spans="1:13" ht="12.3">
      <c r="A852" s="34"/>
      <c r="B852" s="34"/>
      <c r="C852" s="34"/>
      <c r="D852" s="34"/>
      <c r="M852" s="10"/>
    </row>
    <row r="853" spans="1:13" ht="12.3">
      <c r="A853" s="34"/>
      <c r="B853" s="34"/>
      <c r="C853" s="34"/>
      <c r="D853" s="34"/>
      <c r="M853" s="10"/>
    </row>
    <row r="854" spans="1:13" ht="12.3">
      <c r="A854" s="34"/>
      <c r="B854" s="34"/>
      <c r="C854" s="34"/>
      <c r="D854" s="34"/>
      <c r="M854" s="10"/>
    </row>
    <row r="855" spans="1:13" ht="12.3">
      <c r="A855" s="34"/>
      <c r="B855" s="34"/>
      <c r="C855" s="34"/>
      <c r="D855" s="34"/>
      <c r="M855" s="10"/>
    </row>
    <row r="856" spans="1:13" ht="12.3">
      <c r="A856" s="34"/>
      <c r="B856" s="34"/>
      <c r="C856" s="34"/>
      <c r="D856" s="34"/>
      <c r="M856" s="10"/>
    </row>
    <row r="857" spans="1:13" ht="12.3">
      <c r="A857" s="34"/>
      <c r="B857" s="34"/>
      <c r="C857" s="34"/>
      <c r="D857" s="34"/>
      <c r="M857" s="10"/>
    </row>
    <row r="858" spans="1:13" ht="12.3">
      <c r="A858" s="34"/>
      <c r="B858" s="34"/>
      <c r="C858" s="34"/>
      <c r="D858" s="34"/>
      <c r="M858" s="10"/>
    </row>
    <row r="859" spans="1:13" ht="12.3">
      <c r="A859" s="34"/>
      <c r="B859" s="34"/>
      <c r="C859" s="34"/>
      <c r="D859" s="34"/>
      <c r="M859" s="10"/>
    </row>
    <row r="860" spans="1:13" ht="12.3">
      <c r="A860" s="34"/>
      <c r="B860" s="34"/>
      <c r="C860" s="34"/>
      <c r="D860" s="34"/>
      <c r="M860" s="10"/>
    </row>
    <row r="861" spans="1:13" ht="12.3">
      <c r="A861" s="34"/>
      <c r="B861" s="34"/>
      <c r="C861" s="34"/>
      <c r="D861" s="34"/>
      <c r="M861" s="10"/>
    </row>
    <row r="862" spans="1:13" ht="12.3">
      <c r="A862" s="34"/>
      <c r="B862" s="34"/>
      <c r="C862" s="34"/>
      <c r="D862" s="34"/>
      <c r="M862" s="10"/>
    </row>
    <row r="863" spans="1:13" ht="12.3">
      <c r="A863" s="34"/>
      <c r="B863" s="34"/>
      <c r="C863" s="34"/>
      <c r="D863" s="34"/>
      <c r="M863" s="10"/>
    </row>
    <row r="864" spans="1:13" ht="12.3">
      <c r="A864" s="34"/>
      <c r="B864" s="34"/>
      <c r="C864" s="34"/>
      <c r="D864" s="34"/>
      <c r="M864" s="10"/>
    </row>
    <row r="865" spans="1:13" ht="12.3">
      <c r="A865" s="34"/>
      <c r="B865" s="34"/>
      <c r="C865" s="34"/>
      <c r="D865" s="34"/>
      <c r="M865" s="10"/>
    </row>
    <row r="866" spans="1:13" ht="12.3">
      <c r="A866" s="34"/>
      <c r="B866" s="34"/>
      <c r="C866" s="34"/>
      <c r="D866" s="34"/>
      <c r="M866" s="10"/>
    </row>
    <row r="867" spans="1:13" ht="12.3">
      <c r="A867" s="34"/>
      <c r="B867" s="34"/>
      <c r="C867" s="34"/>
      <c r="D867" s="34"/>
      <c r="M867" s="10"/>
    </row>
    <row r="868" spans="1:13" ht="12.3">
      <c r="A868" s="34"/>
      <c r="B868" s="34"/>
      <c r="C868" s="34"/>
      <c r="D868" s="34"/>
      <c r="M868" s="10"/>
    </row>
    <row r="869" spans="1:13" ht="12.3">
      <c r="A869" s="34"/>
      <c r="B869" s="34"/>
      <c r="C869" s="34"/>
      <c r="D869" s="34"/>
      <c r="M869" s="10"/>
    </row>
    <row r="870" spans="1:13" ht="12.3">
      <c r="A870" s="34"/>
      <c r="B870" s="34"/>
      <c r="C870" s="34"/>
      <c r="D870" s="34"/>
      <c r="M870" s="10"/>
    </row>
    <row r="871" spans="1:13" ht="12.3">
      <c r="A871" s="34"/>
      <c r="B871" s="34"/>
      <c r="C871" s="34"/>
      <c r="D871" s="34"/>
      <c r="M871" s="10"/>
    </row>
    <row r="872" spans="1:13" ht="12.3">
      <c r="A872" s="34"/>
      <c r="B872" s="34"/>
      <c r="C872" s="34"/>
      <c r="D872" s="34"/>
      <c r="M872" s="10"/>
    </row>
    <row r="873" spans="1:13" ht="12.3">
      <c r="A873" s="34"/>
      <c r="B873" s="34"/>
      <c r="C873" s="34"/>
      <c r="D873" s="34"/>
      <c r="M873" s="10"/>
    </row>
    <row r="874" spans="1:13" ht="12.3">
      <c r="A874" s="34"/>
      <c r="B874" s="34"/>
      <c r="C874" s="34"/>
      <c r="D874" s="34"/>
      <c r="M874" s="10"/>
    </row>
    <row r="875" spans="1:13" ht="12.3">
      <c r="A875" s="34"/>
      <c r="B875" s="34"/>
      <c r="C875" s="34"/>
      <c r="D875" s="34"/>
      <c r="M875" s="10"/>
    </row>
    <row r="876" spans="1:13" ht="12.3">
      <c r="A876" s="34"/>
      <c r="B876" s="34"/>
      <c r="C876" s="34"/>
      <c r="D876" s="34"/>
      <c r="M876" s="10"/>
    </row>
    <row r="877" spans="1:13" ht="12.3">
      <c r="A877" s="34"/>
      <c r="B877" s="34"/>
      <c r="C877" s="34"/>
      <c r="D877" s="34"/>
      <c r="M877" s="10"/>
    </row>
    <row r="878" spans="1:13" ht="12.3">
      <c r="A878" s="34"/>
      <c r="B878" s="34"/>
      <c r="C878" s="34"/>
      <c r="D878" s="34"/>
      <c r="M878" s="10"/>
    </row>
    <row r="879" spans="1:13" ht="12.3">
      <c r="A879" s="34"/>
      <c r="B879" s="34"/>
      <c r="C879" s="34"/>
      <c r="D879" s="34"/>
      <c r="M879" s="10"/>
    </row>
    <row r="880" spans="1:13" ht="12.3">
      <c r="A880" s="34"/>
      <c r="B880" s="34"/>
      <c r="C880" s="34"/>
      <c r="D880" s="34"/>
      <c r="M880" s="10"/>
    </row>
    <row r="881" spans="1:13" ht="12.3">
      <c r="A881" s="34"/>
      <c r="B881" s="34"/>
      <c r="C881" s="34"/>
      <c r="D881" s="34"/>
      <c r="M881" s="10"/>
    </row>
    <row r="882" spans="1:13" ht="12.3">
      <c r="A882" s="34"/>
      <c r="B882" s="34"/>
      <c r="C882" s="34"/>
      <c r="D882" s="34"/>
      <c r="M882" s="10"/>
    </row>
    <row r="883" spans="1:13" ht="12.3">
      <c r="A883" s="34"/>
      <c r="B883" s="34"/>
      <c r="C883" s="34"/>
      <c r="D883" s="34"/>
      <c r="M883" s="10"/>
    </row>
    <row r="884" spans="1:13" ht="12.3">
      <c r="A884" s="34"/>
      <c r="B884" s="34"/>
      <c r="C884" s="34"/>
      <c r="D884" s="34"/>
      <c r="M884" s="10"/>
    </row>
    <row r="885" spans="1:13" ht="12.3">
      <c r="A885" s="34"/>
      <c r="B885" s="34"/>
      <c r="C885" s="34"/>
      <c r="D885" s="34"/>
      <c r="M885" s="10"/>
    </row>
    <row r="886" spans="1:13" ht="12.3">
      <c r="A886" s="34"/>
      <c r="B886" s="34"/>
      <c r="C886" s="34"/>
      <c r="D886" s="34"/>
      <c r="M886" s="10"/>
    </row>
    <row r="887" spans="1:13" ht="12.3">
      <c r="A887" s="34"/>
      <c r="B887" s="34"/>
      <c r="C887" s="34"/>
      <c r="D887" s="34"/>
      <c r="M887" s="10"/>
    </row>
    <row r="888" spans="1:13" ht="12.3">
      <c r="A888" s="34"/>
      <c r="B888" s="34"/>
      <c r="C888" s="34"/>
      <c r="D888" s="34"/>
      <c r="M888" s="10"/>
    </row>
    <row r="889" spans="1:13" ht="12.3">
      <c r="A889" s="34"/>
      <c r="B889" s="34"/>
      <c r="C889" s="34"/>
      <c r="D889" s="34"/>
      <c r="M889" s="10"/>
    </row>
    <row r="890" spans="1:13" ht="12.3">
      <c r="A890" s="34"/>
      <c r="B890" s="34"/>
      <c r="C890" s="34"/>
      <c r="D890" s="34"/>
      <c r="M890" s="10"/>
    </row>
    <row r="891" spans="1:13" ht="12.3">
      <c r="A891" s="34"/>
      <c r="B891" s="34"/>
      <c r="C891" s="34"/>
      <c r="D891" s="34"/>
      <c r="M891" s="10"/>
    </row>
    <row r="892" spans="1:13" ht="12.3">
      <c r="A892" s="34"/>
      <c r="B892" s="34"/>
      <c r="C892" s="34"/>
      <c r="D892" s="34"/>
      <c r="M892" s="10"/>
    </row>
    <row r="893" spans="1:13" ht="12.3">
      <c r="A893" s="34"/>
      <c r="B893" s="34"/>
      <c r="C893" s="34"/>
      <c r="D893" s="34"/>
      <c r="M893" s="10"/>
    </row>
    <row r="894" spans="1:13" ht="12.3">
      <c r="A894" s="34"/>
      <c r="B894" s="34"/>
      <c r="C894" s="34"/>
      <c r="D894" s="34"/>
      <c r="M894" s="10"/>
    </row>
    <row r="895" spans="1:13" ht="12.3">
      <c r="A895" s="34"/>
      <c r="B895" s="34"/>
      <c r="C895" s="34"/>
      <c r="D895" s="34"/>
      <c r="M895" s="10"/>
    </row>
    <row r="896" spans="1:13" ht="12.3">
      <c r="A896" s="34"/>
      <c r="B896" s="34"/>
      <c r="C896" s="34"/>
      <c r="D896" s="34"/>
      <c r="M896" s="10"/>
    </row>
    <row r="897" spans="1:13" ht="12.3">
      <c r="A897" s="34"/>
      <c r="B897" s="34"/>
      <c r="C897" s="34"/>
      <c r="D897" s="34"/>
      <c r="M897" s="10"/>
    </row>
    <row r="898" spans="1:13" ht="12.3">
      <c r="A898" s="34"/>
      <c r="B898" s="34"/>
      <c r="C898" s="34"/>
      <c r="D898" s="34"/>
      <c r="M898" s="10"/>
    </row>
    <row r="899" spans="1:13" ht="12.3">
      <c r="A899" s="34"/>
      <c r="B899" s="34"/>
      <c r="C899" s="34"/>
      <c r="D899" s="34"/>
      <c r="M899" s="10"/>
    </row>
    <row r="900" spans="1:13" ht="12.3">
      <c r="A900" s="34"/>
      <c r="B900" s="34"/>
      <c r="C900" s="34"/>
      <c r="D900" s="34"/>
      <c r="M900" s="10"/>
    </row>
    <row r="901" spans="1:13" ht="12.3">
      <c r="A901" s="34"/>
      <c r="B901" s="34"/>
      <c r="C901" s="34"/>
      <c r="D901" s="34"/>
      <c r="M901" s="10"/>
    </row>
    <row r="902" spans="1:13" ht="12.3">
      <c r="A902" s="34"/>
      <c r="B902" s="34"/>
      <c r="C902" s="34"/>
      <c r="D902" s="34"/>
      <c r="M902" s="10"/>
    </row>
    <row r="903" spans="1:13" ht="12.3">
      <c r="A903" s="34"/>
      <c r="B903" s="34"/>
      <c r="C903" s="34"/>
      <c r="D903" s="34"/>
      <c r="M903" s="10"/>
    </row>
    <row r="904" spans="1:13" ht="12.3">
      <c r="A904" s="34"/>
      <c r="B904" s="34"/>
      <c r="C904" s="34"/>
      <c r="D904" s="34"/>
      <c r="M904" s="10"/>
    </row>
    <row r="905" spans="1:13" ht="12.3">
      <c r="A905" s="34"/>
      <c r="B905" s="34"/>
      <c r="C905" s="34"/>
      <c r="D905" s="34"/>
      <c r="M905" s="10"/>
    </row>
    <row r="906" spans="1:13" ht="12.3">
      <c r="A906" s="34"/>
      <c r="B906" s="34"/>
      <c r="C906" s="34"/>
      <c r="D906" s="34"/>
      <c r="M906" s="10"/>
    </row>
    <row r="907" spans="1:13" ht="12.3">
      <c r="A907" s="34"/>
      <c r="B907" s="34"/>
      <c r="C907" s="34"/>
      <c r="D907" s="34"/>
      <c r="M907" s="10"/>
    </row>
    <row r="908" spans="1:13" ht="12.3">
      <c r="A908" s="34"/>
      <c r="B908" s="34"/>
      <c r="C908" s="34"/>
      <c r="D908" s="34"/>
      <c r="M908" s="10"/>
    </row>
    <row r="909" spans="1:13" ht="12.3">
      <c r="A909" s="34"/>
      <c r="B909" s="34"/>
      <c r="C909" s="34"/>
      <c r="D909" s="34"/>
      <c r="M909" s="10"/>
    </row>
    <row r="910" spans="1:13" ht="12.3">
      <c r="A910" s="34"/>
      <c r="B910" s="34"/>
      <c r="C910" s="34"/>
      <c r="D910" s="34"/>
      <c r="M910" s="10"/>
    </row>
    <row r="911" spans="1:13" ht="12.3">
      <c r="A911" s="34"/>
      <c r="B911" s="34"/>
      <c r="C911" s="34"/>
      <c r="D911" s="34"/>
      <c r="M911" s="10"/>
    </row>
    <row r="912" spans="1:13" ht="12.3">
      <c r="A912" s="34"/>
      <c r="B912" s="34"/>
      <c r="C912" s="34"/>
      <c r="D912" s="34"/>
      <c r="M912" s="10"/>
    </row>
    <row r="913" spans="1:13" ht="12.3">
      <c r="A913" s="34"/>
      <c r="B913" s="34"/>
      <c r="C913" s="34"/>
      <c r="D913" s="34"/>
      <c r="M913" s="10"/>
    </row>
    <row r="914" spans="1:13" ht="12.3">
      <c r="A914" s="34"/>
      <c r="B914" s="34"/>
      <c r="C914" s="34"/>
      <c r="D914" s="34"/>
      <c r="M914" s="10"/>
    </row>
    <row r="915" spans="1:13" ht="12.3">
      <c r="A915" s="34"/>
      <c r="B915" s="34"/>
      <c r="C915" s="34"/>
      <c r="D915" s="34"/>
      <c r="M915" s="10"/>
    </row>
    <row r="916" spans="1:13" ht="12.3">
      <c r="A916" s="34"/>
      <c r="B916" s="34"/>
      <c r="C916" s="34"/>
      <c r="D916" s="34"/>
      <c r="M916" s="10"/>
    </row>
    <row r="917" spans="1:13" ht="12.3">
      <c r="A917" s="34"/>
      <c r="B917" s="34"/>
      <c r="C917" s="34"/>
      <c r="D917" s="34"/>
      <c r="M917" s="10"/>
    </row>
    <row r="918" spans="1:13" ht="12.3">
      <c r="A918" s="34"/>
      <c r="B918" s="34"/>
      <c r="C918" s="34"/>
      <c r="D918" s="34"/>
      <c r="M918" s="10"/>
    </row>
    <row r="919" spans="1:13" ht="12.3">
      <c r="A919" s="34"/>
      <c r="B919" s="34"/>
      <c r="C919" s="34"/>
      <c r="D919" s="34"/>
      <c r="M919" s="10"/>
    </row>
    <row r="920" spans="1:13" ht="12.3">
      <c r="A920" s="34"/>
      <c r="B920" s="34"/>
      <c r="C920" s="34"/>
      <c r="D920" s="34"/>
      <c r="M920" s="10"/>
    </row>
    <row r="921" spans="1:13" ht="12.3">
      <c r="A921" s="34"/>
      <c r="B921" s="34"/>
      <c r="C921" s="34"/>
      <c r="D921" s="34"/>
      <c r="M921" s="10"/>
    </row>
    <row r="922" spans="1:13" ht="12.3">
      <c r="A922" s="34"/>
      <c r="B922" s="34"/>
      <c r="C922" s="34"/>
      <c r="D922" s="34"/>
      <c r="M922" s="10"/>
    </row>
    <row r="923" spans="1:13" ht="12.3">
      <c r="A923" s="34"/>
      <c r="B923" s="34"/>
      <c r="C923" s="34"/>
      <c r="D923" s="34"/>
      <c r="M923" s="10"/>
    </row>
    <row r="924" spans="1:13" ht="12.3">
      <c r="A924" s="34"/>
      <c r="B924" s="34"/>
      <c r="C924" s="34"/>
      <c r="D924" s="34"/>
      <c r="M924" s="10"/>
    </row>
    <row r="925" spans="1:13" ht="12.3">
      <c r="A925" s="34"/>
      <c r="B925" s="34"/>
      <c r="C925" s="34"/>
      <c r="D925" s="34"/>
      <c r="M925" s="10"/>
    </row>
    <row r="926" spans="1:13" ht="12.3">
      <c r="A926" s="34"/>
      <c r="B926" s="34"/>
      <c r="C926" s="34"/>
      <c r="D926" s="34"/>
      <c r="M926" s="10"/>
    </row>
    <row r="927" spans="1:13" ht="12.3">
      <c r="A927" s="34"/>
      <c r="B927" s="34"/>
      <c r="C927" s="34"/>
      <c r="D927" s="34"/>
      <c r="M927" s="10"/>
    </row>
    <row r="928" spans="1:13" ht="12.3">
      <c r="A928" s="34"/>
      <c r="B928" s="34"/>
      <c r="C928" s="34"/>
      <c r="D928" s="34"/>
      <c r="M928" s="10"/>
    </row>
    <row r="929" spans="1:13" ht="12.3">
      <c r="A929" s="34"/>
      <c r="B929" s="34"/>
      <c r="C929" s="34"/>
      <c r="D929" s="34"/>
      <c r="M929" s="10"/>
    </row>
    <row r="930" spans="1:13" ht="12.3">
      <c r="A930" s="34"/>
      <c r="B930" s="34"/>
      <c r="C930" s="34"/>
      <c r="D930" s="34"/>
      <c r="M930" s="10"/>
    </row>
    <row r="931" spans="1:13" ht="12.3">
      <c r="A931" s="34"/>
      <c r="B931" s="34"/>
      <c r="C931" s="34"/>
      <c r="D931" s="34"/>
      <c r="M931" s="10"/>
    </row>
    <row r="932" spans="1:13" ht="12.3">
      <c r="A932" s="34"/>
      <c r="B932" s="34"/>
      <c r="C932" s="34"/>
      <c r="D932" s="34"/>
      <c r="M932" s="10"/>
    </row>
    <row r="933" spans="1:13" ht="12.3">
      <c r="A933" s="34"/>
      <c r="B933" s="34"/>
      <c r="C933" s="34"/>
      <c r="D933" s="34"/>
      <c r="M933" s="10"/>
    </row>
    <row r="934" spans="1:13" ht="12.3">
      <c r="A934" s="34"/>
      <c r="B934" s="34"/>
      <c r="C934" s="34"/>
      <c r="D934" s="34"/>
      <c r="M934" s="10"/>
    </row>
    <row r="935" spans="1:13" ht="12.3">
      <c r="A935" s="34"/>
      <c r="B935" s="34"/>
      <c r="C935" s="34"/>
      <c r="D935" s="34"/>
      <c r="M935" s="10"/>
    </row>
    <row r="936" spans="1:13" ht="12.3">
      <c r="A936" s="34"/>
      <c r="B936" s="34"/>
      <c r="C936" s="34"/>
      <c r="D936" s="34"/>
      <c r="M936" s="10"/>
    </row>
    <row r="937" spans="1:13" ht="12.3">
      <c r="A937" s="34"/>
      <c r="B937" s="34"/>
      <c r="C937" s="34"/>
      <c r="D937" s="34"/>
      <c r="M937" s="10"/>
    </row>
    <row r="938" spans="1:13" ht="12.3">
      <c r="A938" s="34"/>
      <c r="B938" s="34"/>
      <c r="C938" s="34"/>
      <c r="D938" s="34"/>
      <c r="M938" s="10"/>
    </row>
    <row r="939" spans="1:13" ht="12.3">
      <c r="A939" s="34"/>
      <c r="B939" s="34"/>
      <c r="C939" s="34"/>
      <c r="D939" s="34"/>
      <c r="M939" s="10"/>
    </row>
    <row r="940" spans="1:13" ht="12.3">
      <c r="A940" s="34"/>
      <c r="B940" s="34"/>
      <c r="C940" s="34"/>
      <c r="D940" s="34"/>
      <c r="M940" s="10"/>
    </row>
    <row r="941" spans="1:13" ht="12.3">
      <c r="A941" s="34"/>
      <c r="B941" s="34"/>
      <c r="C941" s="34"/>
      <c r="D941" s="34"/>
      <c r="M941" s="10"/>
    </row>
    <row r="942" spans="1:13" ht="12.3">
      <c r="A942" s="34"/>
      <c r="B942" s="34"/>
      <c r="C942" s="34"/>
      <c r="D942" s="34"/>
      <c r="M942" s="10"/>
    </row>
    <row r="943" spans="1:13" ht="12.3">
      <c r="A943" s="34"/>
      <c r="B943" s="34"/>
      <c r="C943" s="34"/>
      <c r="D943" s="34"/>
      <c r="M943" s="10"/>
    </row>
    <row r="944" spans="1:13" ht="12.3">
      <c r="A944" s="34"/>
      <c r="B944" s="34"/>
      <c r="C944" s="34"/>
      <c r="D944" s="34"/>
      <c r="M944" s="10"/>
    </row>
    <row r="945" spans="1:13" ht="12.3">
      <c r="A945" s="34"/>
      <c r="B945" s="34"/>
      <c r="C945" s="34"/>
      <c r="D945" s="34"/>
      <c r="M945" s="10"/>
    </row>
    <row r="946" spans="1:13" ht="12.3">
      <c r="A946" s="34"/>
      <c r="B946" s="34"/>
      <c r="C946" s="34"/>
      <c r="D946" s="34"/>
      <c r="M946" s="10"/>
    </row>
    <row r="947" spans="1:13" ht="12.3">
      <c r="A947" s="34"/>
      <c r="B947" s="34"/>
      <c r="C947" s="34"/>
      <c r="D947" s="34"/>
      <c r="M947" s="10"/>
    </row>
    <row r="948" spans="1:13" ht="12.3">
      <c r="A948" s="34"/>
      <c r="B948" s="34"/>
      <c r="C948" s="34"/>
      <c r="D948" s="34"/>
      <c r="M948" s="10"/>
    </row>
    <row r="949" spans="1:13" ht="12.3">
      <c r="A949" s="34"/>
      <c r="B949" s="34"/>
      <c r="C949" s="34"/>
      <c r="D949" s="34"/>
      <c r="M949" s="10"/>
    </row>
    <row r="950" spans="1:13" ht="12.3">
      <c r="A950" s="34"/>
      <c r="B950" s="34"/>
      <c r="C950" s="34"/>
      <c r="D950" s="34"/>
      <c r="M950" s="10"/>
    </row>
    <row r="951" spans="1:13" ht="12.3">
      <c r="A951" s="34"/>
      <c r="B951" s="34"/>
      <c r="C951" s="34"/>
      <c r="D951" s="34"/>
      <c r="M951" s="10"/>
    </row>
    <row r="952" spans="1:13" ht="12.3">
      <c r="A952" s="34"/>
      <c r="B952" s="34"/>
      <c r="C952" s="34"/>
      <c r="D952" s="34"/>
      <c r="M952" s="10"/>
    </row>
    <row r="953" spans="1:13" ht="12.3">
      <c r="A953" s="34"/>
      <c r="B953" s="34"/>
      <c r="C953" s="34"/>
      <c r="D953" s="34"/>
      <c r="M953" s="10"/>
    </row>
    <row r="954" spans="1:13" ht="12.3">
      <c r="A954" s="34"/>
      <c r="B954" s="34"/>
      <c r="C954" s="34"/>
      <c r="D954" s="34"/>
      <c r="M954" s="10"/>
    </row>
    <row r="955" spans="1:13" ht="12.3">
      <c r="A955" s="34"/>
      <c r="B955" s="34"/>
      <c r="C955" s="34"/>
      <c r="D955" s="34"/>
      <c r="M955" s="10"/>
    </row>
    <row r="956" spans="1:13" ht="12.3">
      <c r="A956" s="34"/>
      <c r="B956" s="34"/>
      <c r="C956" s="34"/>
      <c r="D956" s="34"/>
      <c r="M956" s="10"/>
    </row>
    <row r="957" spans="1:13" ht="12.3">
      <c r="A957" s="34"/>
      <c r="B957" s="34"/>
      <c r="C957" s="34"/>
      <c r="D957" s="34"/>
      <c r="M957" s="10"/>
    </row>
    <row r="958" spans="1:13" ht="12.3">
      <c r="A958" s="34"/>
      <c r="B958" s="34"/>
      <c r="C958" s="34"/>
      <c r="D958" s="34"/>
      <c r="M958" s="10"/>
    </row>
    <row r="959" spans="1:13" ht="12.3">
      <c r="A959" s="34"/>
      <c r="B959" s="34"/>
      <c r="C959" s="34"/>
      <c r="D959" s="34"/>
      <c r="M959" s="10"/>
    </row>
    <row r="960" spans="1:13" ht="12.3">
      <c r="A960" s="34"/>
      <c r="B960" s="34"/>
      <c r="C960" s="34"/>
      <c r="D960" s="34"/>
      <c r="M960" s="10"/>
    </row>
    <row r="961" spans="1:13" ht="12.3">
      <c r="A961" s="34"/>
      <c r="B961" s="34"/>
      <c r="C961" s="34"/>
      <c r="D961" s="34"/>
      <c r="M961" s="10"/>
    </row>
    <row r="962" spans="1:13" ht="12.3">
      <c r="A962" s="34"/>
      <c r="B962" s="34"/>
      <c r="C962" s="34"/>
      <c r="D962" s="34"/>
      <c r="M962" s="10"/>
    </row>
    <row r="963" spans="1:13" ht="12.3">
      <c r="A963" s="34"/>
      <c r="B963" s="34"/>
      <c r="C963" s="34"/>
      <c r="D963" s="34"/>
      <c r="M963" s="10"/>
    </row>
    <row r="964" spans="1:13" ht="12.3">
      <c r="A964" s="34"/>
      <c r="B964" s="34"/>
      <c r="C964" s="34"/>
      <c r="D964" s="34"/>
      <c r="M964" s="10"/>
    </row>
    <row r="965" spans="1:13" ht="12.3">
      <c r="A965" s="34"/>
      <c r="B965" s="34"/>
      <c r="C965" s="34"/>
      <c r="D965" s="34"/>
      <c r="M965" s="10"/>
    </row>
    <row r="966" spans="1:13" ht="12.3">
      <c r="A966" s="34"/>
      <c r="B966" s="34"/>
      <c r="C966" s="34"/>
      <c r="D966" s="34"/>
      <c r="M966" s="10"/>
    </row>
    <row r="967" spans="1:13" ht="12.3">
      <c r="A967" s="34"/>
      <c r="B967" s="34"/>
      <c r="C967" s="34"/>
      <c r="D967" s="34"/>
      <c r="M967" s="10"/>
    </row>
    <row r="968" spans="1:13" ht="12.3">
      <c r="A968" s="34"/>
      <c r="B968" s="34"/>
      <c r="C968" s="34"/>
      <c r="D968" s="34"/>
      <c r="M968" s="10"/>
    </row>
    <row r="969" spans="1:13" ht="12.3">
      <c r="A969" s="34"/>
      <c r="B969" s="34"/>
      <c r="C969" s="34"/>
      <c r="D969" s="34"/>
      <c r="M969" s="10"/>
    </row>
    <row r="970" spans="1:13" ht="12.3">
      <c r="A970" s="34"/>
      <c r="B970" s="34"/>
      <c r="C970" s="34"/>
      <c r="D970" s="34"/>
      <c r="M970" s="10"/>
    </row>
    <row r="971" spans="1:13" ht="12.3">
      <c r="A971" s="34"/>
      <c r="B971" s="34"/>
      <c r="C971" s="34"/>
      <c r="D971" s="34"/>
      <c r="M971" s="10"/>
    </row>
    <row r="972" spans="1:13" ht="12.3">
      <c r="A972" s="34"/>
      <c r="B972" s="34"/>
      <c r="C972" s="34"/>
      <c r="D972" s="34"/>
      <c r="M972" s="10"/>
    </row>
    <row r="973" spans="1:13" ht="12.3">
      <c r="A973" s="34"/>
      <c r="B973" s="34"/>
      <c r="C973" s="34"/>
      <c r="D973" s="34"/>
      <c r="M973" s="10"/>
    </row>
    <row r="974" spans="1:13" ht="12.3">
      <c r="A974" s="34"/>
      <c r="B974" s="34"/>
      <c r="C974" s="34"/>
      <c r="D974" s="34"/>
      <c r="M974" s="10"/>
    </row>
    <row r="975" spans="1:13" ht="12.3">
      <c r="A975" s="34"/>
      <c r="B975" s="34"/>
      <c r="C975" s="34"/>
      <c r="D975" s="34"/>
      <c r="M975" s="10"/>
    </row>
    <row r="976" spans="1:13" ht="12.3">
      <c r="A976" s="34"/>
      <c r="B976" s="34"/>
      <c r="C976" s="34"/>
      <c r="D976" s="34"/>
      <c r="M976" s="10"/>
    </row>
    <row r="977" spans="1:13" ht="12.3">
      <c r="A977" s="34"/>
      <c r="B977" s="34"/>
      <c r="C977" s="34"/>
      <c r="D977" s="34"/>
      <c r="M977" s="10"/>
    </row>
    <row r="978" spans="1:13" ht="12.3">
      <c r="A978" s="34"/>
      <c r="B978" s="34"/>
      <c r="C978" s="34"/>
      <c r="D978" s="34"/>
      <c r="M978" s="10"/>
    </row>
    <row r="979" spans="1:13" ht="12.3">
      <c r="A979" s="34"/>
      <c r="B979" s="34"/>
      <c r="C979" s="34"/>
      <c r="D979" s="34"/>
      <c r="M979" s="10"/>
    </row>
    <row r="980" spans="1:13" ht="12.3">
      <c r="A980" s="34"/>
      <c r="B980" s="34"/>
      <c r="C980" s="34"/>
      <c r="D980" s="34"/>
      <c r="M980" s="10"/>
    </row>
    <row r="981" spans="1:13" ht="12.3">
      <c r="A981" s="34"/>
      <c r="B981" s="34"/>
      <c r="C981" s="34"/>
      <c r="D981" s="34"/>
      <c r="M981" s="10"/>
    </row>
    <row r="982" spans="1:13" ht="12.3">
      <c r="A982" s="34"/>
      <c r="B982" s="34"/>
      <c r="C982" s="34"/>
      <c r="D982" s="34"/>
      <c r="M982" s="10"/>
    </row>
    <row r="983" spans="1:13" ht="12.3">
      <c r="A983" s="34"/>
      <c r="B983" s="34"/>
      <c r="C983" s="34"/>
      <c r="D983" s="34"/>
      <c r="M983" s="10"/>
    </row>
    <row r="984" spans="1:13" ht="12.3">
      <c r="A984" s="34"/>
      <c r="B984" s="34"/>
      <c r="C984" s="34"/>
      <c r="D984" s="34"/>
      <c r="M984" s="10"/>
    </row>
    <row r="985" spans="1:13" ht="12.3">
      <c r="A985" s="34"/>
      <c r="B985" s="34"/>
      <c r="C985" s="34"/>
      <c r="D985" s="34"/>
      <c r="M985" s="10"/>
    </row>
    <row r="986" spans="1:13" ht="12.3">
      <c r="A986" s="34"/>
      <c r="B986" s="34"/>
      <c r="C986" s="34"/>
      <c r="D986" s="34"/>
      <c r="M986" s="10"/>
    </row>
    <row r="987" spans="1:13" ht="12.3">
      <c r="A987" s="34"/>
      <c r="B987" s="34"/>
      <c r="C987" s="34"/>
      <c r="D987" s="34"/>
      <c r="M987" s="10"/>
    </row>
    <row r="988" spans="1:13" ht="12.3">
      <c r="A988" s="34"/>
      <c r="B988" s="34"/>
      <c r="C988" s="34"/>
      <c r="D988" s="34"/>
      <c r="M988" s="10"/>
    </row>
    <row r="989" spans="1:13" ht="12.3">
      <c r="A989" s="34"/>
      <c r="B989" s="34"/>
      <c r="C989" s="34"/>
      <c r="D989" s="34"/>
      <c r="M989" s="10"/>
    </row>
    <row r="990" spans="1:13" ht="12.3">
      <c r="A990" s="34"/>
      <c r="B990" s="34"/>
      <c r="C990" s="34"/>
      <c r="D990" s="34"/>
      <c r="M990" s="10"/>
    </row>
    <row r="991" spans="1:13" ht="12.3">
      <c r="A991" s="34"/>
      <c r="B991" s="34"/>
      <c r="C991" s="34"/>
      <c r="D991" s="34"/>
      <c r="M991" s="10"/>
    </row>
    <row r="992" spans="1:13" ht="12.3">
      <c r="A992" s="34"/>
      <c r="B992" s="34"/>
      <c r="C992" s="34"/>
      <c r="D992" s="34"/>
      <c r="M992" s="10"/>
    </row>
    <row r="993" spans="1:13" ht="12.3">
      <c r="A993" s="34"/>
      <c r="B993" s="34"/>
      <c r="C993" s="34"/>
      <c r="D993" s="34"/>
      <c r="M993" s="10"/>
    </row>
    <row r="994" spans="1:13" ht="12.3">
      <c r="A994" s="34"/>
      <c r="B994" s="34"/>
      <c r="C994" s="34"/>
      <c r="D994" s="34"/>
      <c r="M994" s="10"/>
    </row>
    <row r="995" spans="1:13" ht="12.3">
      <c r="A995" s="34"/>
      <c r="B995" s="34"/>
      <c r="C995" s="34"/>
      <c r="D995" s="34"/>
      <c r="M995" s="10"/>
    </row>
    <row r="996" spans="1:13" ht="12.3">
      <c r="A996" s="34"/>
      <c r="B996" s="34"/>
      <c r="C996" s="34"/>
      <c r="D996" s="34"/>
      <c r="M996" s="10"/>
    </row>
    <row r="997" spans="1:13" ht="12.3">
      <c r="A997" s="34"/>
      <c r="B997" s="34"/>
      <c r="C997" s="34"/>
      <c r="D997" s="34"/>
      <c r="M997" s="10"/>
    </row>
    <row r="998" spans="1:13" ht="12.3">
      <c r="A998" s="34"/>
      <c r="B998" s="34"/>
      <c r="C998" s="34"/>
      <c r="D998" s="34"/>
      <c r="M998" s="10"/>
    </row>
  </sheetData>
  <mergeCells count="1">
    <mergeCell ref="E8:E9"/>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M37"/>
  <sheetViews>
    <sheetView topLeftCell="A19" workbookViewId="0">
      <selection activeCell="D28" sqref="D28"/>
    </sheetView>
  </sheetViews>
  <sheetFormatPr defaultColWidth="12.609375" defaultRowHeight="15" customHeight="1"/>
  <cols>
    <col min="1" max="1" width="2.88671875" customWidth="1"/>
    <col min="4" max="4" width="18.88671875" customWidth="1"/>
    <col min="13" max="13" width="22.71875" customWidth="1"/>
  </cols>
  <sheetData>
    <row r="1" spans="1:13" ht="15" customHeight="1">
      <c r="A1" s="41"/>
      <c r="B1" s="42" t="s">
        <v>29</v>
      </c>
      <c r="C1" s="43" t="s">
        <v>37</v>
      </c>
      <c r="D1" s="43" t="s">
        <v>36</v>
      </c>
      <c r="E1" s="13" t="s">
        <v>175</v>
      </c>
      <c r="F1" s="8" t="s">
        <v>176</v>
      </c>
      <c r="G1" s="13" t="s">
        <v>177</v>
      </c>
      <c r="H1" s="13" t="s">
        <v>178</v>
      </c>
      <c r="I1" s="13" t="s">
        <v>38</v>
      </c>
      <c r="J1" s="13" t="s">
        <v>32</v>
      </c>
      <c r="K1" s="13" t="s">
        <v>33</v>
      </c>
      <c r="L1" s="13" t="s">
        <v>34</v>
      </c>
      <c r="M1" s="44" t="s">
        <v>35</v>
      </c>
    </row>
    <row r="2" spans="1:13" ht="15" customHeight="1">
      <c r="A2" s="7">
        <v>1</v>
      </c>
      <c r="B2" s="33">
        <v>45996</v>
      </c>
      <c r="C2" s="21">
        <v>0.40694444444444444</v>
      </c>
      <c r="D2" s="22" t="s">
        <v>18</v>
      </c>
      <c r="E2" s="18"/>
      <c r="F2" s="24"/>
      <c r="G2" s="18"/>
      <c r="H2" s="18">
        <v>24</v>
      </c>
      <c r="I2" s="18">
        <v>31</v>
      </c>
      <c r="J2" s="18">
        <v>120</v>
      </c>
      <c r="K2" s="18"/>
      <c r="L2" s="18">
        <v>32</v>
      </c>
      <c r="M2" s="45" t="s">
        <v>39</v>
      </c>
    </row>
    <row r="3" spans="1:13" ht="15" customHeight="1">
      <c r="A3" s="20">
        <v>2</v>
      </c>
      <c r="B3" s="33">
        <v>45996</v>
      </c>
      <c r="C3" s="21">
        <v>0.41180555555555554</v>
      </c>
      <c r="D3" s="22" t="s">
        <v>20</v>
      </c>
      <c r="E3" s="23"/>
      <c r="F3" s="24"/>
      <c r="G3" s="24"/>
      <c r="H3" s="24">
        <v>214</v>
      </c>
      <c r="I3" s="24">
        <v>176</v>
      </c>
      <c r="J3" s="24">
        <v>120</v>
      </c>
      <c r="K3" s="24">
        <v>50</v>
      </c>
      <c r="L3" s="24">
        <v>36</v>
      </c>
      <c r="M3" s="46" t="s">
        <v>39</v>
      </c>
    </row>
    <row r="4" spans="1:13" ht="15" customHeight="1">
      <c r="A4" s="20">
        <v>3</v>
      </c>
      <c r="B4" s="33">
        <v>45996</v>
      </c>
      <c r="C4" s="21">
        <v>0.43819444444444444</v>
      </c>
      <c r="D4" s="22" t="s">
        <v>2</v>
      </c>
      <c r="E4" s="24"/>
      <c r="F4" s="24"/>
      <c r="G4" s="24"/>
      <c r="H4" s="24">
        <v>79</v>
      </c>
      <c r="I4" s="24">
        <v>80</v>
      </c>
      <c r="J4" s="24">
        <v>150</v>
      </c>
      <c r="K4" s="24">
        <v>50</v>
      </c>
      <c r="L4" s="24">
        <v>44</v>
      </c>
      <c r="M4" s="46" t="s">
        <v>39</v>
      </c>
    </row>
    <row r="5" spans="1:13" ht="15" customHeight="1">
      <c r="A5" s="7">
        <v>4</v>
      </c>
      <c r="B5" s="33">
        <v>45996</v>
      </c>
      <c r="C5" s="21">
        <v>0.44583333333333336</v>
      </c>
      <c r="D5" s="22" t="s">
        <v>3</v>
      </c>
      <c r="E5" s="18"/>
      <c r="F5" s="18"/>
      <c r="G5" s="18"/>
      <c r="H5" s="18">
        <v>112</v>
      </c>
      <c r="I5" s="18">
        <v>84</v>
      </c>
      <c r="J5" s="18">
        <v>150</v>
      </c>
      <c r="K5" s="18">
        <v>30</v>
      </c>
      <c r="L5" s="18">
        <v>43</v>
      </c>
      <c r="M5" s="9" t="s">
        <v>39</v>
      </c>
    </row>
    <row r="6" spans="1:13" ht="15" customHeight="1">
      <c r="A6" s="7">
        <v>5</v>
      </c>
      <c r="B6" s="33">
        <v>45996</v>
      </c>
      <c r="C6" s="21">
        <v>0.4513888888888889</v>
      </c>
      <c r="D6" s="22" t="s">
        <v>9</v>
      </c>
      <c r="E6" s="18"/>
      <c r="F6" s="18"/>
      <c r="G6" s="18"/>
      <c r="H6" s="18">
        <v>234</v>
      </c>
      <c r="I6" s="18">
        <v>250</v>
      </c>
      <c r="J6" s="18">
        <v>150</v>
      </c>
      <c r="K6" s="18">
        <v>30</v>
      </c>
      <c r="L6" s="18">
        <v>37</v>
      </c>
      <c r="M6" s="45" t="s">
        <v>39</v>
      </c>
    </row>
    <row r="7" spans="1:13" ht="15" customHeight="1">
      <c r="A7" s="7">
        <v>6</v>
      </c>
      <c r="B7" s="33">
        <v>45996</v>
      </c>
      <c r="C7" s="21">
        <v>0.4548611111111111</v>
      </c>
      <c r="D7" s="22" t="s">
        <v>4</v>
      </c>
      <c r="E7" s="18"/>
      <c r="F7" s="18"/>
      <c r="G7" s="18"/>
      <c r="H7" s="18">
        <v>163</v>
      </c>
      <c r="I7" s="18">
        <v>200</v>
      </c>
      <c r="J7" s="18">
        <v>80</v>
      </c>
      <c r="K7" s="18">
        <v>60</v>
      </c>
      <c r="L7" s="18">
        <v>36</v>
      </c>
      <c r="M7" s="45" t="s">
        <v>39</v>
      </c>
    </row>
    <row r="8" spans="1:13" ht="15" customHeight="1">
      <c r="A8" s="7">
        <v>7</v>
      </c>
      <c r="B8" s="33">
        <v>45996</v>
      </c>
      <c r="C8" s="21">
        <v>0.46527777777777779</v>
      </c>
      <c r="D8" s="22" t="s">
        <v>15</v>
      </c>
      <c r="E8" s="49"/>
      <c r="F8" s="18"/>
      <c r="G8" s="18"/>
      <c r="H8" s="18">
        <v>56</v>
      </c>
      <c r="I8" s="18">
        <v>38</v>
      </c>
      <c r="J8" s="18">
        <v>100</v>
      </c>
      <c r="K8" s="18">
        <v>50</v>
      </c>
      <c r="L8" s="18">
        <v>56</v>
      </c>
      <c r="M8" s="45" t="s">
        <v>39</v>
      </c>
    </row>
    <row r="9" spans="1:13" ht="15" customHeight="1">
      <c r="A9" s="7">
        <v>8</v>
      </c>
      <c r="B9" s="33">
        <v>45996</v>
      </c>
      <c r="C9" s="21"/>
      <c r="D9" s="22" t="s">
        <v>16</v>
      </c>
      <c r="E9" s="50"/>
      <c r="F9" s="18"/>
      <c r="G9" s="18"/>
      <c r="H9" s="18"/>
      <c r="I9" s="18"/>
      <c r="J9" s="18"/>
      <c r="K9" s="18"/>
      <c r="L9" s="18"/>
      <c r="M9" s="45" t="s">
        <v>142</v>
      </c>
    </row>
    <row r="10" spans="1:13" ht="15" customHeight="1">
      <c r="A10" s="20">
        <v>9</v>
      </c>
      <c r="B10" s="33">
        <v>45996</v>
      </c>
      <c r="C10" s="21"/>
      <c r="D10" s="22" t="s">
        <v>5</v>
      </c>
      <c r="E10" s="23"/>
      <c r="F10" s="24"/>
      <c r="G10" s="24"/>
      <c r="H10" s="24"/>
      <c r="I10" s="24"/>
      <c r="J10" s="24"/>
      <c r="K10" s="24"/>
      <c r="L10" s="24"/>
      <c r="M10" s="45" t="s">
        <v>147</v>
      </c>
    </row>
    <row r="11" spans="1:13" ht="15" customHeight="1">
      <c r="A11" s="7">
        <v>10</v>
      </c>
      <c r="B11" s="33">
        <v>45996</v>
      </c>
      <c r="C11" s="21"/>
      <c r="D11" s="22" t="s">
        <v>6</v>
      </c>
      <c r="E11" s="18"/>
      <c r="F11" s="18"/>
      <c r="G11" s="18"/>
      <c r="H11" s="18">
        <v>11</v>
      </c>
      <c r="I11" s="18">
        <v>0</v>
      </c>
      <c r="J11" s="18"/>
      <c r="K11" s="18"/>
      <c r="L11" s="18"/>
      <c r="M11" s="9"/>
    </row>
    <row r="12" spans="1:13" ht="15" customHeight="1">
      <c r="A12" s="7">
        <v>11</v>
      </c>
      <c r="B12" s="33">
        <v>45996</v>
      </c>
      <c r="C12" s="21"/>
      <c r="D12" s="22" t="e">
        <f>#REF!</f>
        <v>#REF!</v>
      </c>
      <c r="E12" s="18"/>
      <c r="F12" s="18"/>
      <c r="G12" s="18"/>
      <c r="H12" s="18">
        <v>7</v>
      </c>
      <c r="I12" s="18"/>
      <c r="J12" s="18"/>
      <c r="K12" s="18"/>
      <c r="L12" s="18"/>
      <c r="M12" s="45"/>
    </row>
    <row r="13" spans="1:13" ht="15" customHeight="1">
      <c r="A13" s="20">
        <v>12</v>
      </c>
      <c r="B13" s="33">
        <v>45996</v>
      </c>
      <c r="C13" s="21">
        <v>0.47569444444444442</v>
      </c>
      <c r="D13" s="22" t="s">
        <v>19</v>
      </c>
      <c r="E13" s="24"/>
      <c r="F13" s="24"/>
      <c r="G13" s="24"/>
      <c r="H13" s="24">
        <v>25</v>
      </c>
      <c r="I13" s="24">
        <v>31</v>
      </c>
      <c r="J13" s="24">
        <v>100</v>
      </c>
      <c r="K13" s="24">
        <v>50</v>
      </c>
      <c r="L13" s="24">
        <v>30</v>
      </c>
      <c r="M13" s="45" t="s">
        <v>39</v>
      </c>
    </row>
    <row r="14" spans="1:13" ht="15" customHeight="1">
      <c r="A14" s="7">
        <v>13</v>
      </c>
      <c r="B14" s="33">
        <v>45996</v>
      </c>
      <c r="C14" s="21">
        <v>0.51041666666666663</v>
      </c>
      <c r="D14" s="22" t="s">
        <v>26</v>
      </c>
      <c r="E14" s="18"/>
      <c r="F14" s="18"/>
      <c r="G14" s="18"/>
      <c r="H14" s="18"/>
      <c r="I14" s="18"/>
      <c r="J14" s="18"/>
      <c r="K14" s="18"/>
      <c r="L14" s="18"/>
      <c r="M14" s="9">
        <v>5640366</v>
      </c>
    </row>
    <row r="15" spans="1:13" ht="15" customHeight="1">
      <c r="A15" s="7">
        <v>14</v>
      </c>
      <c r="B15" s="33">
        <v>45996</v>
      </c>
      <c r="C15" s="21">
        <v>0.51736111111111116</v>
      </c>
      <c r="D15" s="22" t="s">
        <v>13</v>
      </c>
      <c r="E15" s="18"/>
      <c r="F15" s="18"/>
      <c r="G15" s="18"/>
      <c r="H15" s="18">
        <v>34</v>
      </c>
      <c r="I15" s="18">
        <v>0</v>
      </c>
      <c r="J15" s="18">
        <v>100</v>
      </c>
      <c r="K15" s="18"/>
      <c r="L15" s="18">
        <v>69</v>
      </c>
      <c r="M15" s="45" t="s">
        <v>39</v>
      </c>
    </row>
    <row r="16" spans="1:13" ht="15" customHeight="1">
      <c r="A16" s="7">
        <v>15</v>
      </c>
      <c r="B16" s="33">
        <v>45996</v>
      </c>
      <c r="C16" s="21">
        <v>0.52430555555555558</v>
      </c>
      <c r="D16" s="22" t="s">
        <v>17</v>
      </c>
      <c r="E16" s="18"/>
      <c r="F16" s="18"/>
      <c r="G16" s="18"/>
      <c r="H16" s="18">
        <v>54</v>
      </c>
      <c r="I16" s="18">
        <v>54</v>
      </c>
      <c r="J16" s="18">
        <v>100</v>
      </c>
      <c r="K16" s="18">
        <v>50</v>
      </c>
      <c r="L16" s="18">
        <v>62</v>
      </c>
      <c r="M16" s="45" t="s">
        <v>39</v>
      </c>
    </row>
    <row r="17" spans="1:13" ht="15" customHeight="1">
      <c r="A17" s="7">
        <v>16</v>
      </c>
      <c r="B17" s="33">
        <v>45996</v>
      </c>
      <c r="C17" s="21">
        <v>0.53472222222222221</v>
      </c>
      <c r="D17" s="22" t="s">
        <v>12</v>
      </c>
      <c r="E17" s="18"/>
      <c r="F17" s="18"/>
      <c r="G17" s="18"/>
      <c r="H17" s="18">
        <v>143</v>
      </c>
      <c r="I17" s="18">
        <v>60</v>
      </c>
      <c r="J17" s="18">
        <v>150</v>
      </c>
      <c r="K17" s="18">
        <v>50</v>
      </c>
      <c r="L17" s="18">
        <v>57</v>
      </c>
      <c r="M17" s="9" t="s">
        <v>39</v>
      </c>
    </row>
    <row r="18" spans="1:13" ht="15" customHeight="1">
      <c r="A18" s="7">
        <v>17</v>
      </c>
      <c r="B18" s="33">
        <v>45996</v>
      </c>
      <c r="C18" s="21">
        <v>0.54166666666666663</v>
      </c>
      <c r="D18" s="22" t="s">
        <v>11</v>
      </c>
      <c r="E18" s="18"/>
      <c r="F18" s="18"/>
      <c r="G18" s="18"/>
      <c r="H18" s="18">
        <v>80</v>
      </c>
      <c r="I18" s="18">
        <v>103</v>
      </c>
      <c r="J18" s="18">
        <v>100</v>
      </c>
      <c r="K18" s="18">
        <v>50</v>
      </c>
      <c r="L18" s="18">
        <v>56</v>
      </c>
      <c r="M18" s="9" t="s">
        <v>39</v>
      </c>
    </row>
    <row r="19" spans="1:13" ht="15" customHeight="1">
      <c r="A19" s="7">
        <v>18</v>
      </c>
      <c r="B19" s="33">
        <v>45996</v>
      </c>
      <c r="C19" s="21">
        <v>0.54861111111111116</v>
      </c>
      <c r="D19" s="22" t="s">
        <v>23</v>
      </c>
      <c r="E19" s="18"/>
      <c r="F19" s="18"/>
      <c r="G19" s="18"/>
      <c r="H19" s="18">
        <v>49</v>
      </c>
      <c r="I19" s="18">
        <v>68</v>
      </c>
      <c r="J19" s="18">
        <v>130</v>
      </c>
      <c r="K19" s="18">
        <v>50</v>
      </c>
      <c r="L19" s="18">
        <v>58</v>
      </c>
      <c r="M19" s="9" t="s">
        <v>39</v>
      </c>
    </row>
    <row r="20" spans="1:13" ht="15" customHeight="1">
      <c r="A20" s="7">
        <v>19</v>
      </c>
      <c r="B20" s="33">
        <v>45996</v>
      </c>
      <c r="C20" s="21">
        <v>0.55208333333333337</v>
      </c>
      <c r="D20" s="22" t="s">
        <v>24</v>
      </c>
      <c r="E20" s="18"/>
      <c r="F20" s="18"/>
      <c r="G20" s="18"/>
      <c r="H20" s="18">
        <v>38</v>
      </c>
      <c r="I20" s="18">
        <v>0</v>
      </c>
      <c r="J20" s="18">
        <v>100</v>
      </c>
      <c r="K20" s="18">
        <v>50</v>
      </c>
      <c r="L20" s="18">
        <v>54</v>
      </c>
      <c r="M20" s="45" t="s">
        <v>39</v>
      </c>
    </row>
    <row r="21" spans="1:13" ht="15" customHeight="1">
      <c r="A21" s="7">
        <v>20</v>
      </c>
      <c r="B21" s="33">
        <v>45996</v>
      </c>
      <c r="C21" s="21">
        <v>0.55555555555555558</v>
      </c>
      <c r="D21" s="22" t="s">
        <v>10</v>
      </c>
      <c r="E21" s="18"/>
      <c r="F21" s="18"/>
      <c r="G21" s="18"/>
      <c r="H21" s="18">
        <v>43</v>
      </c>
      <c r="I21" s="18">
        <v>66</v>
      </c>
      <c r="J21" s="18">
        <v>100</v>
      </c>
      <c r="K21" s="18">
        <v>50</v>
      </c>
      <c r="L21" s="18">
        <v>55</v>
      </c>
      <c r="M21" s="9" t="s">
        <v>39</v>
      </c>
    </row>
    <row r="22" spans="1:13" ht="15" customHeight="1">
      <c r="A22" s="7">
        <v>21</v>
      </c>
      <c r="B22" s="33">
        <v>45996</v>
      </c>
      <c r="C22" s="21">
        <v>0.5625</v>
      </c>
      <c r="D22" s="22" t="s">
        <v>7</v>
      </c>
      <c r="E22" s="18"/>
      <c r="F22" s="18"/>
      <c r="G22" s="18"/>
      <c r="H22" s="18">
        <v>69</v>
      </c>
      <c r="I22" s="18">
        <v>0</v>
      </c>
      <c r="J22" s="18">
        <v>100</v>
      </c>
      <c r="K22" s="18">
        <v>50</v>
      </c>
      <c r="L22" s="18">
        <v>67</v>
      </c>
      <c r="M22" s="45" t="s">
        <v>148</v>
      </c>
    </row>
    <row r="23" spans="1:13" ht="15" customHeight="1">
      <c r="A23" s="7">
        <v>22</v>
      </c>
      <c r="B23" s="33">
        <v>45996</v>
      </c>
      <c r="C23" s="21">
        <v>0.57291666666666663</v>
      </c>
      <c r="D23" s="22" t="s">
        <v>8</v>
      </c>
      <c r="E23" s="18"/>
      <c r="F23" s="18"/>
      <c r="G23" s="18"/>
      <c r="H23" s="18">
        <v>97</v>
      </c>
      <c r="I23" s="18">
        <v>104</v>
      </c>
      <c r="J23" s="18">
        <v>80</v>
      </c>
      <c r="K23" s="18">
        <v>60</v>
      </c>
      <c r="L23" s="18">
        <v>84</v>
      </c>
      <c r="M23" s="9" t="s">
        <v>39</v>
      </c>
    </row>
    <row r="24" spans="1:13" ht="15" customHeight="1">
      <c r="A24" s="20">
        <v>23</v>
      </c>
      <c r="B24" s="33">
        <v>45996</v>
      </c>
      <c r="C24" s="21">
        <v>0.35069444444444442</v>
      </c>
      <c r="D24" s="22" t="s">
        <v>21</v>
      </c>
      <c r="E24" s="23"/>
      <c r="F24" s="24"/>
      <c r="G24" s="24"/>
      <c r="H24" s="24">
        <v>75</v>
      </c>
      <c r="I24" s="24">
        <v>147</v>
      </c>
      <c r="J24" s="24">
        <v>75</v>
      </c>
      <c r="K24" s="24">
        <v>50</v>
      </c>
      <c r="L24" s="24">
        <v>63</v>
      </c>
      <c r="M24" s="46" t="s">
        <v>39</v>
      </c>
    </row>
    <row r="25" spans="1:13" ht="15" customHeight="1">
      <c r="A25" s="20">
        <v>24</v>
      </c>
      <c r="B25" s="33">
        <v>45996</v>
      </c>
      <c r="C25" s="21">
        <v>0.33333333333333331</v>
      </c>
      <c r="D25" s="22" t="s">
        <v>22</v>
      </c>
      <c r="E25" s="23"/>
      <c r="F25" s="24"/>
      <c r="G25" s="24"/>
      <c r="H25" s="24">
        <v>36</v>
      </c>
      <c r="I25" s="24">
        <v>0</v>
      </c>
      <c r="J25" s="24"/>
      <c r="K25" s="24"/>
      <c r="L25" s="24">
        <v>61</v>
      </c>
      <c r="M25" s="46" t="s">
        <v>149</v>
      </c>
    </row>
    <row r="26" spans="1:13" ht="12.3">
      <c r="A26" s="7">
        <v>25</v>
      </c>
      <c r="B26" s="33">
        <v>45996</v>
      </c>
      <c r="C26" s="21">
        <v>0.38541666666666669</v>
      </c>
      <c r="D26" s="22" t="s">
        <v>25</v>
      </c>
      <c r="E26" s="5"/>
      <c r="F26" s="18"/>
      <c r="G26" s="18"/>
      <c r="H26" s="18">
        <v>240</v>
      </c>
      <c r="I26" s="18">
        <v>245</v>
      </c>
      <c r="J26" s="18">
        <v>60</v>
      </c>
      <c r="K26" s="18">
        <v>80</v>
      </c>
      <c r="L26" s="18">
        <v>58</v>
      </c>
      <c r="M26" s="45" t="s">
        <v>39</v>
      </c>
    </row>
    <row r="27" spans="1:13" ht="12.3">
      <c r="A27" s="7">
        <v>26</v>
      </c>
      <c r="B27" s="33">
        <v>45996</v>
      </c>
      <c r="C27" s="47">
        <v>0.3576388888888889</v>
      </c>
      <c r="D27" s="22" t="s">
        <v>27</v>
      </c>
      <c r="E27" s="18"/>
      <c r="F27" s="18"/>
      <c r="G27" s="18"/>
      <c r="H27" s="36"/>
      <c r="I27" s="36"/>
      <c r="J27" s="36"/>
      <c r="K27" s="36"/>
      <c r="L27" s="36"/>
      <c r="M27" s="45">
        <v>7762584</v>
      </c>
    </row>
    <row r="28" spans="1:13" ht="24.6">
      <c r="A28" s="7">
        <v>27</v>
      </c>
      <c r="B28" s="33"/>
      <c r="C28" s="24"/>
      <c r="D28" s="18" t="s">
        <v>179</v>
      </c>
      <c r="E28" s="18"/>
      <c r="F28" s="18"/>
      <c r="G28" s="18"/>
      <c r="H28" s="18"/>
      <c r="I28" s="18"/>
      <c r="J28" s="18"/>
      <c r="K28" s="18"/>
      <c r="L28" s="18"/>
      <c r="M28" s="45" t="s">
        <v>132</v>
      </c>
    </row>
    <row r="29" spans="1:13" ht="61.5">
      <c r="A29" s="7">
        <v>28</v>
      </c>
      <c r="B29" s="33"/>
      <c r="C29" s="21"/>
      <c r="D29" s="22" t="s">
        <v>77</v>
      </c>
      <c r="E29" s="18"/>
      <c r="F29" s="18"/>
      <c r="G29" s="18"/>
      <c r="H29" s="18"/>
      <c r="I29" s="18"/>
      <c r="J29" s="18"/>
      <c r="K29" s="18"/>
      <c r="L29" s="18"/>
      <c r="M29" s="45" t="s">
        <v>139</v>
      </c>
    </row>
    <row r="30" spans="1:13" ht="61.5">
      <c r="A30" s="7">
        <v>29</v>
      </c>
      <c r="B30" s="33"/>
      <c r="C30" s="24"/>
      <c r="D30" s="22" t="s">
        <v>140</v>
      </c>
      <c r="E30" s="18"/>
      <c r="F30" s="18"/>
      <c r="G30" s="18"/>
      <c r="H30" s="18"/>
      <c r="I30" s="18"/>
      <c r="J30" s="18"/>
      <c r="K30" s="18"/>
      <c r="L30" s="18"/>
      <c r="M30" s="45" t="s">
        <v>105</v>
      </c>
    </row>
    <row r="31" spans="1:13" ht="24.6">
      <c r="A31" s="7">
        <v>30</v>
      </c>
      <c r="B31" s="33">
        <v>45996</v>
      </c>
      <c r="C31" s="24"/>
      <c r="D31" s="22" t="s">
        <v>28</v>
      </c>
      <c r="E31" s="18"/>
      <c r="F31" s="18"/>
      <c r="G31" s="18"/>
      <c r="H31" s="18"/>
      <c r="I31" s="18"/>
      <c r="J31" s="18"/>
      <c r="K31" s="18"/>
      <c r="L31" s="18"/>
      <c r="M31" s="45" t="s">
        <v>133</v>
      </c>
    </row>
    <row r="32" spans="1:13" ht="12.3">
      <c r="A32" s="7">
        <v>31</v>
      </c>
      <c r="B32" s="33"/>
      <c r="C32" s="24"/>
      <c r="D32" s="22" t="s">
        <v>14</v>
      </c>
      <c r="E32" s="18"/>
      <c r="F32" s="18"/>
      <c r="G32" s="18"/>
      <c r="H32" s="18"/>
      <c r="I32" s="18"/>
      <c r="J32" s="18"/>
      <c r="K32" s="18"/>
      <c r="L32" s="18"/>
      <c r="M32" s="9" t="s">
        <v>141</v>
      </c>
    </row>
    <row r="33" spans="1:13" ht="12.3">
      <c r="A33" s="7">
        <v>32</v>
      </c>
      <c r="B33" s="33"/>
      <c r="C33" s="24"/>
      <c r="D33" s="22"/>
      <c r="E33" s="18"/>
      <c r="F33" s="18"/>
      <c r="G33" s="18"/>
      <c r="H33" s="18"/>
      <c r="I33" s="18"/>
      <c r="J33" s="18"/>
      <c r="K33" s="18"/>
      <c r="L33" s="18"/>
      <c r="M33" s="9"/>
    </row>
    <row r="34" spans="1:13" ht="12.3">
      <c r="A34" s="7">
        <v>33</v>
      </c>
      <c r="B34" s="33"/>
      <c r="C34" s="24"/>
      <c r="D34" s="24"/>
      <c r="E34" s="18"/>
      <c r="F34" s="18"/>
      <c r="G34" s="18"/>
      <c r="H34" s="18"/>
      <c r="I34" s="18"/>
      <c r="J34" s="18"/>
      <c r="K34" s="18"/>
      <c r="L34" s="18"/>
      <c r="M34" s="9"/>
    </row>
    <row r="35" spans="1:13" ht="12.3">
      <c r="A35" s="7">
        <v>34</v>
      </c>
      <c r="B35" s="33"/>
      <c r="C35" s="24"/>
      <c r="D35" s="24"/>
      <c r="E35" s="18"/>
      <c r="F35" s="18"/>
      <c r="G35" s="18"/>
      <c r="H35" s="18"/>
      <c r="I35" s="18"/>
      <c r="J35" s="18"/>
      <c r="K35" s="18"/>
      <c r="L35" s="18"/>
      <c r="M35" s="9"/>
    </row>
    <row r="36" spans="1:13" ht="12.3">
      <c r="A36" s="7">
        <v>35</v>
      </c>
      <c r="B36" s="33"/>
      <c r="C36" s="24"/>
      <c r="D36" s="24"/>
      <c r="E36" s="18"/>
      <c r="F36" s="18"/>
      <c r="G36" s="18"/>
      <c r="H36" s="18"/>
      <c r="I36" s="18"/>
      <c r="J36" s="18"/>
      <c r="K36" s="18"/>
      <c r="L36" s="18"/>
      <c r="M36" s="9"/>
    </row>
    <row r="37" spans="1:13" ht="12.3">
      <c r="A37" s="7">
        <v>36</v>
      </c>
      <c r="B37" s="34"/>
      <c r="C37" s="34"/>
      <c r="D37" s="34"/>
      <c r="H37" s="1">
        <f>SUM(H2:H36)</f>
        <v>1883</v>
      </c>
      <c r="M37" s="10"/>
    </row>
  </sheetData>
  <mergeCells count="1">
    <mergeCell ref="E8:E9"/>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M37"/>
  <sheetViews>
    <sheetView workbookViewId="0">
      <pane ySplit="1" topLeftCell="A20" activePane="bottomLeft" state="frozen"/>
      <selection pane="bottomLeft" activeCell="D28" sqref="D28"/>
    </sheetView>
  </sheetViews>
  <sheetFormatPr defaultColWidth="12.609375" defaultRowHeight="15" customHeight="1"/>
  <cols>
    <col min="1" max="1" width="2.88671875" customWidth="1"/>
    <col min="4" max="4" width="18.88671875" customWidth="1"/>
    <col min="13" max="13" width="22.71875" customWidth="1"/>
  </cols>
  <sheetData>
    <row r="1" spans="1:13" ht="15" customHeight="1">
      <c r="A1" s="41"/>
      <c r="B1" s="42" t="s">
        <v>29</v>
      </c>
      <c r="C1" s="43" t="s">
        <v>37</v>
      </c>
      <c r="D1" s="43" t="s">
        <v>36</v>
      </c>
      <c r="E1" s="13" t="s">
        <v>175</v>
      </c>
      <c r="F1" s="8" t="s">
        <v>176</v>
      </c>
      <c r="G1" s="13" t="s">
        <v>177</v>
      </c>
      <c r="H1" s="13" t="s">
        <v>178</v>
      </c>
      <c r="I1" s="13" t="s">
        <v>38</v>
      </c>
      <c r="J1" s="13" t="s">
        <v>32</v>
      </c>
      <c r="K1" s="13" t="s">
        <v>33</v>
      </c>
      <c r="L1" s="13" t="s">
        <v>34</v>
      </c>
      <c r="M1" s="44" t="s">
        <v>35</v>
      </c>
    </row>
    <row r="2" spans="1:13" ht="15" customHeight="1">
      <c r="A2" s="7">
        <v>1</v>
      </c>
      <c r="B2" s="33">
        <v>45997</v>
      </c>
      <c r="C2" s="21">
        <v>0.54861111111111116</v>
      </c>
      <c r="D2" s="22" t="s">
        <v>18</v>
      </c>
      <c r="E2" s="18">
        <v>1</v>
      </c>
      <c r="F2" s="24">
        <v>4</v>
      </c>
      <c r="G2" s="18">
        <v>4</v>
      </c>
      <c r="H2" s="18">
        <v>25</v>
      </c>
      <c r="I2" s="18">
        <v>30</v>
      </c>
      <c r="J2" s="18">
        <v>120</v>
      </c>
      <c r="K2" s="18"/>
      <c r="L2" s="18">
        <v>32</v>
      </c>
      <c r="M2" s="45" t="s">
        <v>39</v>
      </c>
    </row>
    <row r="3" spans="1:13" ht="15" customHeight="1">
      <c r="A3" s="20">
        <v>2</v>
      </c>
      <c r="B3" s="33">
        <v>45997</v>
      </c>
      <c r="C3" s="21">
        <v>0.55555555555555558</v>
      </c>
      <c r="D3" s="22" t="s">
        <v>20</v>
      </c>
      <c r="E3" s="23">
        <v>1</v>
      </c>
      <c r="F3" s="24">
        <v>3</v>
      </c>
      <c r="G3" s="24">
        <v>0</v>
      </c>
      <c r="H3" s="24">
        <v>95</v>
      </c>
      <c r="I3" s="24">
        <v>0</v>
      </c>
      <c r="J3" s="24">
        <v>100</v>
      </c>
      <c r="K3" s="24">
        <v>50</v>
      </c>
      <c r="L3" s="24">
        <v>34</v>
      </c>
      <c r="M3" s="46" t="s">
        <v>39</v>
      </c>
    </row>
    <row r="4" spans="1:13" ht="15" customHeight="1">
      <c r="A4" s="20">
        <v>3</v>
      </c>
      <c r="B4" s="33">
        <v>45997</v>
      </c>
      <c r="C4" s="21">
        <v>0.56597222222222221</v>
      </c>
      <c r="D4" s="22" t="s">
        <v>2</v>
      </c>
      <c r="E4" s="24">
        <v>2</v>
      </c>
      <c r="F4" s="24">
        <v>1</v>
      </c>
      <c r="G4" s="24">
        <v>0</v>
      </c>
      <c r="H4" s="24">
        <v>80</v>
      </c>
      <c r="I4" s="24">
        <v>79</v>
      </c>
      <c r="J4" s="24">
        <v>150</v>
      </c>
      <c r="K4" s="24">
        <v>50</v>
      </c>
      <c r="L4" s="24">
        <v>43</v>
      </c>
      <c r="M4" s="46" t="s">
        <v>39</v>
      </c>
    </row>
    <row r="5" spans="1:13" ht="15" customHeight="1">
      <c r="A5" s="7">
        <v>4</v>
      </c>
      <c r="B5" s="33">
        <v>45997</v>
      </c>
      <c r="C5" s="21">
        <v>0.57638888888888884</v>
      </c>
      <c r="D5" s="22" t="s">
        <v>3</v>
      </c>
      <c r="E5" s="18">
        <v>1</v>
      </c>
      <c r="F5" s="18">
        <v>2</v>
      </c>
      <c r="G5" s="18">
        <v>3</v>
      </c>
      <c r="H5" s="18">
        <v>92</v>
      </c>
      <c r="I5" s="18">
        <v>125</v>
      </c>
      <c r="J5" s="18">
        <v>150</v>
      </c>
      <c r="K5" s="18">
        <v>30</v>
      </c>
      <c r="L5" s="18">
        <v>42</v>
      </c>
      <c r="M5" s="9" t="s">
        <v>39</v>
      </c>
    </row>
    <row r="6" spans="1:13" ht="15" customHeight="1">
      <c r="A6" s="7">
        <v>5</v>
      </c>
      <c r="B6" s="33">
        <v>45997</v>
      </c>
      <c r="C6" s="21">
        <v>0.58680555555555558</v>
      </c>
      <c r="D6" s="22" t="s">
        <v>9</v>
      </c>
      <c r="E6" s="18">
        <v>1</v>
      </c>
      <c r="F6" s="18">
        <v>3</v>
      </c>
      <c r="G6" s="18">
        <v>3</v>
      </c>
      <c r="H6" s="18">
        <v>232</v>
      </c>
      <c r="I6" s="18">
        <v>233</v>
      </c>
      <c r="J6" s="18">
        <v>150</v>
      </c>
      <c r="K6" s="18">
        <v>30</v>
      </c>
      <c r="L6" s="18">
        <v>34</v>
      </c>
      <c r="M6" s="45" t="s">
        <v>39</v>
      </c>
    </row>
    <row r="7" spans="1:13" ht="15" customHeight="1">
      <c r="A7" s="7">
        <v>6</v>
      </c>
      <c r="B7" s="33">
        <v>45997</v>
      </c>
      <c r="C7" s="21">
        <v>0.59722222222222221</v>
      </c>
      <c r="D7" s="22" t="s">
        <v>4</v>
      </c>
      <c r="E7" s="18">
        <v>1</v>
      </c>
      <c r="F7" s="18">
        <v>2</v>
      </c>
      <c r="G7" s="18">
        <v>2</v>
      </c>
      <c r="H7" s="18">
        <v>95</v>
      </c>
      <c r="I7" s="18">
        <v>0</v>
      </c>
      <c r="J7" s="18">
        <v>80</v>
      </c>
      <c r="K7" s="18">
        <v>60</v>
      </c>
      <c r="L7" s="18">
        <v>36</v>
      </c>
      <c r="M7" s="45" t="s">
        <v>150</v>
      </c>
    </row>
    <row r="8" spans="1:13" ht="15" customHeight="1">
      <c r="A8" s="7">
        <v>7</v>
      </c>
      <c r="B8" s="33">
        <v>45997</v>
      </c>
      <c r="C8" s="21">
        <v>0.61111111111111116</v>
      </c>
      <c r="D8" s="22" t="s">
        <v>15</v>
      </c>
      <c r="E8" s="49">
        <v>1</v>
      </c>
      <c r="F8" s="18">
        <v>2</v>
      </c>
      <c r="G8" s="18">
        <v>1</v>
      </c>
      <c r="H8" s="18">
        <v>57</v>
      </c>
      <c r="I8" s="18">
        <v>89</v>
      </c>
      <c r="J8" s="18">
        <v>100</v>
      </c>
      <c r="K8" s="18">
        <v>50</v>
      </c>
      <c r="L8" s="18">
        <v>31</v>
      </c>
      <c r="M8" s="45"/>
    </row>
    <row r="9" spans="1:13" ht="15" customHeight="1">
      <c r="A9" s="7">
        <v>8</v>
      </c>
      <c r="B9" s="33">
        <v>45997</v>
      </c>
      <c r="C9" s="21"/>
      <c r="D9" s="22" t="s">
        <v>16</v>
      </c>
      <c r="E9" s="50"/>
      <c r="F9" s="18"/>
      <c r="G9" s="18"/>
      <c r="H9" s="18"/>
      <c r="I9" s="18"/>
      <c r="J9" s="18"/>
      <c r="K9" s="18"/>
      <c r="L9" s="18"/>
      <c r="M9" s="45" t="s">
        <v>142</v>
      </c>
    </row>
    <row r="10" spans="1:13" ht="15" customHeight="1">
      <c r="A10" s="20">
        <v>9</v>
      </c>
      <c r="B10" s="33">
        <v>45997</v>
      </c>
      <c r="C10" s="21"/>
      <c r="D10" s="22" t="s">
        <v>5</v>
      </c>
      <c r="E10" s="23">
        <v>1</v>
      </c>
      <c r="F10" s="24">
        <v>2</v>
      </c>
      <c r="G10" s="24">
        <v>7</v>
      </c>
      <c r="H10" s="24">
        <v>0</v>
      </c>
      <c r="I10" s="24">
        <v>0</v>
      </c>
      <c r="J10" s="24">
        <v>150</v>
      </c>
      <c r="K10" s="24">
        <v>50</v>
      </c>
      <c r="L10" s="24">
        <v>33</v>
      </c>
      <c r="M10" s="45" t="s">
        <v>39</v>
      </c>
    </row>
    <row r="11" spans="1:13" ht="15" customHeight="1">
      <c r="A11" s="7">
        <v>10</v>
      </c>
      <c r="B11" s="33">
        <v>45997</v>
      </c>
      <c r="C11" s="21">
        <v>0.625</v>
      </c>
      <c r="D11" s="22" t="s">
        <v>6</v>
      </c>
      <c r="E11" s="18"/>
      <c r="F11" s="18"/>
      <c r="G11" s="18"/>
      <c r="H11" s="18">
        <v>29</v>
      </c>
      <c r="I11" s="18">
        <v>0</v>
      </c>
      <c r="J11" s="18"/>
      <c r="K11" s="18"/>
      <c r="L11" s="18">
        <v>31</v>
      </c>
      <c r="M11" s="9" t="s">
        <v>151</v>
      </c>
    </row>
    <row r="12" spans="1:13" ht="15" customHeight="1">
      <c r="A12" s="7">
        <v>11</v>
      </c>
      <c r="B12" s="33">
        <v>45997</v>
      </c>
      <c r="C12" s="21"/>
      <c r="D12" s="22" t="e">
        <f>#REF!</f>
        <v>#REF!</v>
      </c>
      <c r="E12" s="18">
        <v>1</v>
      </c>
      <c r="F12" s="18">
        <v>4</v>
      </c>
      <c r="G12" s="18">
        <v>6</v>
      </c>
      <c r="H12" s="18">
        <v>4</v>
      </c>
      <c r="I12" s="18"/>
      <c r="J12" s="18">
        <v>100</v>
      </c>
      <c r="K12" s="18">
        <v>50</v>
      </c>
      <c r="L12" s="18"/>
      <c r="M12" s="45" t="s">
        <v>39</v>
      </c>
    </row>
    <row r="13" spans="1:13" ht="15" customHeight="1">
      <c r="A13" s="20">
        <v>12</v>
      </c>
      <c r="B13" s="33">
        <v>45997</v>
      </c>
      <c r="C13" s="21">
        <v>0.64583333333333337</v>
      </c>
      <c r="D13" s="22" t="s">
        <v>19</v>
      </c>
      <c r="E13" s="24">
        <v>1</v>
      </c>
      <c r="F13" s="24">
        <v>2</v>
      </c>
      <c r="G13" s="24">
        <v>2</v>
      </c>
      <c r="H13" s="24">
        <v>26</v>
      </c>
      <c r="I13" s="24">
        <v>25</v>
      </c>
      <c r="J13" s="24">
        <v>130</v>
      </c>
      <c r="K13" s="24">
        <v>50</v>
      </c>
      <c r="L13" s="24">
        <v>30</v>
      </c>
      <c r="M13" s="45" t="s">
        <v>39</v>
      </c>
    </row>
    <row r="14" spans="1:13" ht="15" customHeight="1">
      <c r="A14" s="7">
        <v>13</v>
      </c>
      <c r="B14" s="33">
        <v>45997</v>
      </c>
      <c r="C14" s="21">
        <v>0.53472222222222221</v>
      </c>
      <c r="D14" s="22" t="s">
        <v>26</v>
      </c>
      <c r="E14" s="18"/>
      <c r="F14" s="18"/>
      <c r="G14" s="18"/>
      <c r="H14" s="18"/>
      <c r="I14" s="18"/>
      <c r="J14" s="18"/>
      <c r="K14" s="18"/>
      <c r="L14" s="18"/>
      <c r="M14" s="9">
        <v>5642688</v>
      </c>
    </row>
    <row r="15" spans="1:13" ht="15" customHeight="1">
      <c r="A15" s="7">
        <v>14</v>
      </c>
      <c r="B15" s="33">
        <v>45997</v>
      </c>
      <c r="C15" s="21">
        <v>0.52777777777777779</v>
      </c>
      <c r="D15" s="22" t="s">
        <v>13</v>
      </c>
      <c r="E15" s="18">
        <v>2</v>
      </c>
      <c r="F15" s="18">
        <v>5</v>
      </c>
      <c r="G15" s="18">
        <v>9</v>
      </c>
      <c r="H15" s="18">
        <v>5</v>
      </c>
      <c r="I15" s="18">
        <v>0</v>
      </c>
      <c r="J15" s="18">
        <v>150</v>
      </c>
      <c r="K15" s="18"/>
      <c r="L15" s="18">
        <v>71</v>
      </c>
      <c r="M15" s="45" t="s">
        <v>152</v>
      </c>
    </row>
    <row r="16" spans="1:13" ht="15" customHeight="1">
      <c r="A16" s="7">
        <v>15</v>
      </c>
      <c r="B16" s="33">
        <v>45997</v>
      </c>
      <c r="C16" s="21">
        <v>0.51736111111111116</v>
      </c>
      <c r="D16" s="22" t="s">
        <v>17</v>
      </c>
      <c r="E16" s="18">
        <v>1</v>
      </c>
      <c r="F16" s="18">
        <v>10</v>
      </c>
      <c r="G16" s="18">
        <v>8</v>
      </c>
      <c r="H16" s="18">
        <v>54</v>
      </c>
      <c r="I16" s="18">
        <v>63</v>
      </c>
      <c r="J16" s="18">
        <v>150</v>
      </c>
      <c r="K16" s="18">
        <v>50</v>
      </c>
      <c r="L16" s="18">
        <v>63</v>
      </c>
      <c r="M16" s="45" t="s">
        <v>39</v>
      </c>
    </row>
    <row r="17" spans="1:13" ht="15" customHeight="1">
      <c r="A17" s="7">
        <v>16</v>
      </c>
      <c r="B17" s="33">
        <v>45997</v>
      </c>
      <c r="C17" s="21">
        <v>0.51041666666666663</v>
      </c>
      <c r="D17" s="22" t="s">
        <v>12</v>
      </c>
      <c r="E17" s="18">
        <v>1</v>
      </c>
      <c r="F17" s="18">
        <v>6</v>
      </c>
      <c r="G17" s="18">
        <v>6</v>
      </c>
      <c r="H17" s="18">
        <v>72</v>
      </c>
      <c r="I17" s="18">
        <v>0</v>
      </c>
      <c r="J17" s="18">
        <v>150</v>
      </c>
      <c r="K17" s="18">
        <v>50</v>
      </c>
      <c r="L17" s="18">
        <v>56</v>
      </c>
      <c r="M17" s="9" t="s">
        <v>39</v>
      </c>
    </row>
    <row r="18" spans="1:13" ht="15" customHeight="1">
      <c r="A18" s="7">
        <v>17</v>
      </c>
      <c r="B18" s="33">
        <v>45997</v>
      </c>
      <c r="C18" s="21">
        <v>0.50347222222222221</v>
      </c>
      <c r="D18" s="22" t="s">
        <v>11</v>
      </c>
      <c r="E18" s="18">
        <v>2</v>
      </c>
      <c r="F18" s="18">
        <v>9</v>
      </c>
      <c r="G18" s="18">
        <v>0</v>
      </c>
      <c r="H18" s="18">
        <v>41</v>
      </c>
      <c r="I18" s="18">
        <v>19</v>
      </c>
      <c r="J18" s="18">
        <v>100</v>
      </c>
      <c r="K18" s="18">
        <v>50</v>
      </c>
      <c r="L18" s="18">
        <v>54</v>
      </c>
      <c r="M18" s="9" t="s">
        <v>39</v>
      </c>
    </row>
    <row r="19" spans="1:13" ht="15" customHeight="1">
      <c r="A19" s="7">
        <v>18</v>
      </c>
      <c r="B19" s="33">
        <v>45997</v>
      </c>
      <c r="C19" s="21">
        <v>0.49652777777777779</v>
      </c>
      <c r="D19" s="22" t="s">
        <v>23</v>
      </c>
      <c r="E19" s="18">
        <v>1</v>
      </c>
      <c r="F19" s="18">
        <v>11</v>
      </c>
      <c r="G19" s="18">
        <v>7</v>
      </c>
      <c r="H19" s="18">
        <v>48</v>
      </c>
      <c r="I19" s="18">
        <v>18</v>
      </c>
      <c r="J19" s="18">
        <v>100</v>
      </c>
      <c r="K19" s="18">
        <v>50</v>
      </c>
      <c r="L19" s="18">
        <v>57</v>
      </c>
      <c r="M19" s="9" t="s">
        <v>39</v>
      </c>
    </row>
    <row r="20" spans="1:13" ht="15" customHeight="1">
      <c r="A20" s="7">
        <v>19</v>
      </c>
      <c r="B20" s="33">
        <v>45997</v>
      </c>
      <c r="C20" s="21">
        <v>0.98958333333333337</v>
      </c>
      <c r="D20" s="22" t="s">
        <v>24</v>
      </c>
      <c r="E20" s="18">
        <v>1</v>
      </c>
      <c r="F20" s="18">
        <v>2</v>
      </c>
      <c r="G20" s="18">
        <v>1</v>
      </c>
      <c r="H20" s="18">
        <v>32</v>
      </c>
      <c r="I20" s="18">
        <v>25</v>
      </c>
      <c r="J20" s="18">
        <v>100</v>
      </c>
      <c r="K20" s="18">
        <v>50</v>
      </c>
      <c r="L20" s="18">
        <v>57</v>
      </c>
      <c r="M20" s="45" t="s">
        <v>39</v>
      </c>
    </row>
    <row r="21" spans="1:13" ht="15" customHeight="1">
      <c r="A21" s="7">
        <v>20</v>
      </c>
      <c r="B21" s="33">
        <v>45997</v>
      </c>
      <c r="C21" s="21">
        <v>0.4826388888888889</v>
      </c>
      <c r="D21" s="22" t="s">
        <v>10</v>
      </c>
      <c r="E21" s="18">
        <v>1</v>
      </c>
      <c r="F21" s="18">
        <v>6</v>
      </c>
      <c r="G21" s="18">
        <v>1</v>
      </c>
      <c r="H21" s="18">
        <v>40</v>
      </c>
      <c r="I21" s="18">
        <v>94</v>
      </c>
      <c r="J21" s="18">
        <v>150</v>
      </c>
      <c r="K21" s="18">
        <v>50</v>
      </c>
      <c r="L21" s="18">
        <v>57</v>
      </c>
      <c r="M21" s="9" t="s">
        <v>39</v>
      </c>
    </row>
    <row r="22" spans="1:13" ht="15" customHeight="1">
      <c r="A22" s="7">
        <v>21</v>
      </c>
      <c r="B22" s="33">
        <v>45997</v>
      </c>
      <c r="C22" s="21">
        <v>0.46875</v>
      </c>
      <c r="D22" s="22" t="s">
        <v>7</v>
      </c>
      <c r="E22" s="18">
        <v>1</v>
      </c>
      <c r="F22" s="18">
        <v>5</v>
      </c>
      <c r="G22" s="18">
        <v>3</v>
      </c>
      <c r="H22" s="18">
        <v>38</v>
      </c>
      <c r="I22" s="18">
        <v>17</v>
      </c>
      <c r="J22" s="18">
        <v>100</v>
      </c>
      <c r="K22" s="18">
        <v>50</v>
      </c>
      <c r="L22" s="18">
        <v>71</v>
      </c>
      <c r="M22" s="45" t="s">
        <v>39</v>
      </c>
    </row>
    <row r="23" spans="1:13" ht="15" customHeight="1">
      <c r="A23" s="7">
        <v>22</v>
      </c>
      <c r="B23" s="33">
        <v>45997</v>
      </c>
      <c r="C23" s="21">
        <v>0.47569444444444442</v>
      </c>
      <c r="D23" s="22" t="s">
        <v>8</v>
      </c>
      <c r="E23" s="18">
        <v>1</v>
      </c>
      <c r="F23" s="18">
        <v>4</v>
      </c>
      <c r="G23" s="18">
        <v>7</v>
      </c>
      <c r="H23" s="18">
        <v>91</v>
      </c>
      <c r="I23" s="18">
        <v>118</v>
      </c>
      <c r="J23" s="18">
        <v>60</v>
      </c>
      <c r="K23" s="18">
        <v>80</v>
      </c>
      <c r="L23" s="18">
        <v>87</v>
      </c>
      <c r="M23" s="9" t="s">
        <v>39</v>
      </c>
    </row>
    <row r="24" spans="1:13" ht="15" customHeight="1">
      <c r="A24" s="20">
        <v>23</v>
      </c>
      <c r="B24" s="33">
        <v>45997</v>
      </c>
      <c r="C24" s="21">
        <v>0.40972222222222221</v>
      </c>
      <c r="D24" s="22" t="s">
        <v>21</v>
      </c>
      <c r="E24" s="23">
        <v>1</v>
      </c>
      <c r="F24" s="24">
        <v>6</v>
      </c>
      <c r="G24" s="24">
        <v>6</v>
      </c>
      <c r="H24" s="24">
        <v>85</v>
      </c>
      <c r="I24" s="24">
        <v>54</v>
      </c>
      <c r="J24" s="24">
        <v>75</v>
      </c>
      <c r="K24" s="24">
        <v>50</v>
      </c>
      <c r="L24" s="24">
        <v>55</v>
      </c>
      <c r="M24" s="46" t="s">
        <v>153</v>
      </c>
    </row>
    <row r="25" spans="1:13" ht="15" customHeight="1">
      <c r="A25" s="20">
        <v>24</v>
      </c>
      <c r="B25" s="33">
        <v>45997</v>
      </c>
      <c r="C25" s="21">
        <v>0.38541666666666669</v>
      </c>
      <c r="D25" s="22" t="s">
        <v>22</v>
      </c>
      <c r="E25" s="23">
        <v>1</v>
      </c>
      <c r="F25" s="24">
        <v>4</v>
      </c>
      <c r="G25" s="24">
        <v>0</v>
      </c>
      <c r="H25" s="24">
        <v>19</v>
      </c>
      <c r="I25" s="24">
        <v>38</v>
      </c>
      <c r="J25" s="24">
        <v>80</v>
      </c>
      <c r="K25" s="24">
        <v>60</v>
      </c>
      <c r="L25" s="24">
        <v>63</v>
      </c>
      <c r="M25" s="46" t="s">
        <v>154</v>
      </c>
    </row>
    <row r="26" spans="1:13" ht="15" customHeight="1">
      <c r="A26" s="7">
        <v>25</v>
      </c>
      <c r="B26" s="33">
        <v>45997</v>
      </c>
      <c r="C26" s="21">
        <v>0.43819444444444444</v>
      </c>
      <c r="D26" s="22" t="s">
        <v>25</v>
      </c>
      <c r="E26" s="5">
        <v>1</v>
      </c>
      <c r="F26" s="18">
        <v>5</v>
      </c>
      <c r="G26" s="18">
        <v>7</v>
      </c>
      <c r="H26" s="18">
        <v>241</v>
      </c>
      <c r="I26" s="18">
        <v>199</v>
      </c>
      <c r="J26" s="18">
        <v>80</v>
      </c>
      <c r="K26" s="18">
        <v>60</v>
      </c>
      <c r="L26" s="18">
        <v>51</v>
      </c>
      <c r="M26" s="45" t="s">
        <v>39</v>
      </c>
    </row>
    <row r="27" spans="1:13" ht="15" customHeight="1">
      <c r="A27" s="7">
        <v>26</v>
      </c>
      <c r="B27" s="33">
        <v>45997</v>
      </c>
      <c r="C27" s="47">
        <v>0.4201388888888889</v>
      </c>
      <c r="D27" s="22" t="s">
        <v>27</v>
      </c>
      <c r="E27" s="18"/>
      <c r="F27" s="18"/>
      <c r="G27" s="18"/>
      <c r="H27" s="36"/>
      <c r="I27" s="36"/>
      <c r="J27" s="36"/>
      <c r="K27" s="36"/>
      <c r="L27" s="36"/>
      <c r="M27" s="45">
        <v>7763062</v>
      </c>
    </row>
    <row r="28" spans="1:13" ht="15" customHeight="1">
      <c r="A28" s="7">
        <v>27</v>
      </c>
      <c r="B28" s="33"/>
      <c r="C28" s="24"/>
      <c r="D28" s="18" t="s">
        <v>179</v>
      </c>
      <c r="E28" s="18"/>
      <c r="F28" s="18"/>
      <c r="G28" s="18"/>
      <c r="H28" s="18"/>
      <c r="I28" s="18"/>
      <c r="J28" s="18"/>
      <c r="K28" s="18"/>
      <c r="L28" s="18"/>
      <c r="M28" s="45" t="s">
        <v>132</v>
      </c>
    </row>
    <row r="29" spans="1:13" ht="61.5">
      <c r="A29" s="7">
        <v>28</v>
      </c>
      <c r="B29" s="33"/>
      <c r="C29" s="21"/>
      <c r="D29" s="22" t="s">
        <v>77</v>
      </c>
      <c r="E29" s="18"/>
      <c r="F29" s="18"/>
      <c r="G29" s="18"/>
      <c r="H29" s="18"/>
      <c r="I29" s="18"/>
      <c r="J29" s="18"/>
      <c r="K29" s="18"/>
      <c r="L29" s="18"/>
      <c r="M29" s="45" t="s">
        <v>139</v>
      </c>
    </row>
    <row r="30" spans="1:13" ht="61.5">
      <c r="A30" s="7">
        <v>29</v>
      </c>
      <c r="B30" s="33"/>
      <c r="C30" s="24"/>
      <c r="D30" s="22" t="s">
        <v>140</v>
      </c>
      <c r="E30" s="18"/>
      <c r="F30" s="18"/>
      <c r="G30" s="18"/>
      <c r="H30" s="18"/>
      <c r="I30" s="18"/>
      <c r="J30" s="18"/>
      <c r="K30" s="18"/>
      <c r="L30" s="18"/>
      <c r="M30" s="45" t="s">
        <v>105</v>
      </c>
    </row>
    <row r="31" spans="1:13" ht="24.6">
      <c r="A31" s="7">
        <v>30</v>
      </c>
      <c r="B31" s="33">
        <v>45997</v>
      </c>
      <c r="C31" s="24"/>
      <c r="D31" s="22" t="s">
        <v>28</v>
      </c>
      <c r="E31" s="18"/>
      <c r="F31" s="18"/>
      <c r="G31" s="18"/>
      <c r="H31" s="18"/>
      <c r="I31" s="18"/>
      <c r="J31" s="18"/>
      <c r="K31" s="18"/>
      <c r="L31" s="18"/>
      <c r="M31" s="45" t="s">
        <v>133</v>
      </c>
    </row>
    <row r="32" spans="1:13" ht="12.3">
      <c r="A32" s="7">
        <v>31</v>
      </c>
      <c r="B32" s="33"/>
      <c r="C32" s="24"/>
      <c r="D32" s="22" t="s">
        <v>14</v>
      </c>
      <c r="E32" s="18"/>
      <c r="F32" s="18"/>
      <c r="G32" s="18"/>
      <c r="H32" s="18"/>
      <c r="I32" s="18"/>
      <c r="J32" s="18"/>
      <c r="K32" s="18"/>
      <c r="L32" s="18"/>
      <c r="M32" s="9" t="s">
        <v>141</v>
      </c>
    </row>
    <row r="33" spans="1:13" ht="12.3">
      <c r="A33" s="7">
        <v>32</v>
      </c>
      <c r="B33" s="33"/>
      <c r="C33" s="24"/>
      <c r="D33" s="22"/>
      <c r="E33" s="18"/>
      <c r="F33" s="18"/>
      <c r="G33" s="18"/>
      <c r="H33" s="18"/>
      <c r="I33" s="18"/>
      <c r="J33" s="18"/>
      <c r="K33" s="18"/>
      <c r="L33" s="18"/>
      <c r="M33" s="9"/>
    </row>
    <row r="34" spans="1:13" ht="12.3">
      <c r="A34" s="7">
        <v>33</v>
      </c>
      <c r="B34" s="33"/>
      <c r="C34" s="24"/>
      <c r="D34" s="24"/>
      <c r="E34" s="18"/>
      <c r="F34" s="18"/>
      <c r="G34" s="18"/>
      <c r="H34" s="18"/>
      <c r="I34" s="18"/>
      <c r="J34" s="18"/>
      <c r="K34" s="18"/>
      <c r="L34" s="18"/>
      <c r="M34" s="9"/>
    </row>
    <row r="35" spans="1:13" ht="12.3">
      <c r="A35" s="7">
        <v>34</v>
      </c>
      <c r="B35" s="33"/>
      <c r="C35" s="24"/>
      <c r="D35" s="24"/>
      <c r="E35" s="18"/>
      <c r="F35" s="18"/>
      <c r="G35" s="18"/>
      <c r="H35" s="18"/>
      <c r="I35" s="18"/>
      <c r="J35" s="18"/>
      <c r="K35" s="18"/>
      <c r="L35" s="18"/>
      <c r="M35" s="9"/>
    </row>
    <row r="36" spans="1:13" ht="12.3">
      <c r="A36" s="7">
        <v>35</v>
      </c>
      <c r="B36" s="33"/>
      <c r="C36" s="24"/>
      <c r="D36" s="24"/>
      <c r="E36" s="18"/>
      <c r="F36" s="18"/>
      <c r="G36" s="18"/>
      <c r="H36" s="18"/>
      <c r="I36" s="18"/>
      <c r="J36" s="18"/>
      <c r="K36" s="18"/>
      <c r="L36" s="18"/>
      <c r="M36" s="9"/>
    </row>
    <row r="37" spans="1:13" ht="12.3">
      <c r="A37" s="7">
        <v>36</v>
      </c>
      <c r="B37" s="34"/>
      <c r="C37" s="34"/>
      <c r="D37" s="34"/>
      <c r="H37" s="1">
        <f>SUM(H2:H36)</f>
        <v>1501</v>
      </c>
      <c r="M37" s="10"/>
    </row>
  </sheetData>
  <mergeCells count="1">
    <mergeCell ref="E8:E9"/>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M37"/>
  <sheetViews>
    <sheetView workbookViewId="0">
      <pane ySplit="1" topLeftCell="A20" activePane="bottomLeft" state="frozen"/>
      <selection pane="bottomLeft" activeCell="D28" sqref="D28"/>
    </sheetView>
  </sheetViews>
  <sheetFormatPr defaultColWidth="12.609375" defaultRowHeight="15" customHeight="1"/>
  <cols>
    <col min="1" max="1" width="2.88671875" customWidth="1"/>
    <col min="4" max="4" width="18.88671875" customWidth="1"/>
    <col min="13" max="13" width="65" customWidth="1"/>
  </cols>
  <sheetData>
    <row r="1" spans="1:13" ht="15" customHeight="1">
      <c r="A1" s="41"/>
      <c r="B1" s="42" t="s">
        <v>29</v>
      </c>
      <c r="C1" s="43" t="s">
        <v>37</v>
      </c>
      <c r="D1" s="43" t="s">
        <v>36</v>
      </c>
      <c r="E1" s="13" t="s">
        <v>175</v>
      </c>
      <c r="F1" s="8" t="s">
        <v>176</v>
      </c>
      <c r="G1" s="13" t="s">
        <v>177</v>
      </c>
      <c r="H1" s="13" t="s">
        <v>178</v>
      </c>
      <c r="I1" s="13" t="s">
        <v>38</v>
      </c>
      <c r="J1" s="13" t="s">
        <v>32</v>
      </c>
      <c r="K1" s="13" t="s">
        <v>33</v>
      </c>
      <c r="L1" s="13" t="s">
        <v>34</v>
      </c>
      <c r="M1" s="44" t="s">
        <v>35</v>
      </c>
    </row>
    <row r="2" spans="1:13" ht="15" customHeight="1">
      <c r="A2" s="7">
        <v>1</v>
      </c>
      <c r="B2" s="33">
        <v>45998</v>
      </c>
      <c r="C2" s="21">
        <v>0.5625</v>
      </c>
      <c r="D2" s="22" t="s">
        <v>18</v>
      </c>
      <c r="E2" s="18"/>
      <c r="F2" s="24"/>
      <c r="G2" s="18"/>
      <c r="H2" s="18">
        <v>25</v>
      </c>
      <c r="I2" s="18">
        <v>29</v>
      </c>
      <c r="J2" s="18">
        <v>120</v>
      </c>
      <c r="K2" s="18"/>
      <c r="L2" s="18">
        <v>31</v>
      </c>
      <c r="M2" s="45" t="s">
        <v>39</v>
      </c>
    </row>
    <row r="3" spans="1:13" ht="15" customHeight="1">
      <c r="A3" s="20">
        <v>2</v>
      </c>
      <c r="B3" s="33">
        <v>45998</v>
      </c>
      <c r="C3" s="21">
        <v>0.55902777777777779</v>
      </c>
      <c r="D3" s="22" t="s">
        <v>20</v>
      </c>
      <c r="E3" s="23"/>
      <c r="F3" s="24"/>
      <c r="G3" s="24"/>
      <c r="H3" s="24">
        <v>23</v>
      </c>
      <c r="I3" s="24">
        <v>197</v>
      </c>
      <c r="J3" s="24">
        <v>100</v>
      </c>
      <c r="K3" s="24">
        <v>50</v>
      </c>
      <c r="L3" s="24">
        <v>37</v>
      </c>
      <c r="M3" s="46" t="s">
        <v>39</v>
      </c>
    </row>
    <row r="4" spans="1:13" ht="15" customHeight="1">
      <c r="A4" s="20">
        <v>3</v>
      </c>
      <c r="B4" s="33">
        <v>45998</v>
      </c>
      <c r="C4" s="21">
        <v>0.56944444444444442</v>
      </c>
      <c r="D4" s="22" t="s">
        <v>2</v>
      </c>
      <c r="E4" s="24"/>
      <c r="F4" s="24"/>
      <c r="G4" s="24"/>
      <c r="H4" s="24">
        <v>114</v>
      </c>
      <c r="I4" s="24">
        <v>101</v>
      </c>
      <c r="J4" s="24">
        <v>150</v>
      </c>
      <c r="K4" s="24">
        <v>50</v>
      </c>
      <c r="L4" s="24">
        <v>41</v>
      </c>
      <c r="M4" s="46" t="s">
        <v>39</v>
      </c>
    </row>
    <row r="5" spans="1:13" ht="15" customHeight="1">
      <c r="A5" s="7">
        <v>4</v>
      </c>
      <c r="B5" s="33">
        <v>45998</v>
      </c>
      <c r="C5" s="21">
        <v>0.57291666666666663</v>
      </c>
      <c r="D5" s="22" t="s">
        <v>3</v>
      </c>
      <c r="E5" s="18"/>
      <c r="F5" s="18"/>
      <c r="G5" s="18"/>
      <c r="H5" s="18"/>
      <c r="I5" s="18"/>
      <c r="J5" s="18">
        <v>150</v>
      </c>
      <c r="K5" s="18">
        <v>30</v>
      </c>
      <c r="L5" s="18"/>
      <c r="M5" s="45" t="s">
        <v>155</v>
      </c>
    </row>
    <row r="6" spans="1:13" ht="15" customHeight="1">
      <c r="A6" s="7">
        <v>5</v>
      </c>
      <c r="B6" s="33">
        <v>45998</v>
      </c>
      <c r="C6" s="21">
        <v>0.57986111111111116</v>
      </c>
      <c r="D6" s="22" t="s">
        <v>9</v>
      </c>
      <c r="E6" s="18"/>
      <c r="F6" s="18"/>
      <c r="G6" s="18"/>
      <c r="H6" s="18">
        <v>239</v>
      </c>
      <c r="I6" s="18">
        <v>256</v>
      </c>
      <c r="J6" s="18">
        <v>150</v>
      </c>
      <c r="K6" s="18">
        <v>30</v>
      </c>
      <c r="L6" s="18">
        <v>32</v>
      </c>
      <c r="M6" s="45" t="s">
        <v>39</v>
      </c>
    </row>
    <row r="7" spans="1:13" ht="15" customHeight="1">
      <c r="A7" s="7">
        <v>6</v>
      </c>
      <c r="B7" s="33">
        <v>45998</v>
      </c>
      <c r="C7" s="21">
        <v>0.58333333333333337</v>
      </c>
      <c r="D7" s="22" t="s">
        <v>4</v>
      </c>
      <c r="E7" s="18"/>
      <c r="F7" s="18"/>
      <c r="G7" s="18"/>
      <c r="H7" s="18">
        <v>26</v>
      </c>
      <c r="I7" s="18">
        <v>199</v>
      </c>
      <c r="J7" s="18">
        <v>80</v>
      </c>
      <c r="K7" s="18">
        <v>60</v>
      </c>
      <c r="L7" s="18">
        <v>34</v>
      </c>
      <c r="M7" s="45" t="s">
        <v>39</v>
      </c>
    </row>
    <row r="8" spans="1:13" ht="15" customHeight="1">
      <c r="A8" s="7">
        <v>7</v>
      </c>
      <c r="B8" s="33">
        <v>45998</v>
      </c>
      <c r="C8" s="21">
        <v>0.59375</v>
      </c>
      <c r="D8" s="22" t="s">
        <v>15</v>
      </c>
      <c r="E8" s="49"/>
      <c r="F8" s="18"/>
      <c r="G8" s="18"/>
      <c r="H8" s="18">
        <v>60</v>
      </c>
      <c r="I8" s="18">
        <v>37</v>
      </c>
      <c r="J8" s="18">
        <v>100</v>
      </c>
      <c r="K8" s="18">
        <v>50</v>
      </c>
      <c r="L8" s="18">
        <v>31</v>
      </c>
      <c r="M8" s="45" t="s">
        <v>135</v>
      </c>
    </row>
    <row r="9" spans="1:13" ht="15" customHeight="1">
      <c r="A9" s="7">
        <v>8</v>
      </c>
      <c r="B9" s="33">
        <v>45998</v>
      </c>
      <c r="C9" s="21"/>
      <c r="D9" s="22" t="s">
        <v>16</v>
      </c>
      <c r="E9" s="50"/>
      <c r="F9" s="18"/>
      <c r="G9" s="18"/>
      <c r="H9" s="18"/>
      <c r="I9" s="18"/>
      <c r="J9" s="18"/>
      <c r="K9" s="18"/>
      <c r="L9" s="18"/>
      <c r="M9" s="45" t="s">
        <v>142</v>
      </c>
    </row>
    <row r="10" spans="1:13" ht="15" customHeight="1">
      <c r="A10" s="20">
        <v>9</v>
      </c>
      <c r="B10" s="33">
        <v>45998</v>
      </c>
      <c r="C10" s="21">
        <v>0.55555555555555558</v>
      </c>
      <c r="D10" s="22" t="s">
        <v>5</v>
      </c>
      <c r="E10" s="23"/>
      <c r="F10" s="24"/>
      <c r="G10" s="24"/>
      <c r="H10" s="24">
        <v>0</v>
      </c>
      <c r="I10" s="24">
        <v>0</v>
      </c>
      <c r="J10" s="24"/>
      <c r="K10" s="24"/>
      <c r="L10" s="24">
        <v>31</v>
      </c>
      <c r="M10" s="45" t="s">
        <v>39</v>
      </c>
    </row>
    <row r="11" spans="1:13" ht="15" customHeight="1">
      <c r="A11" s="7">
        <v>10</v>
      </c>
      <c r="B11" s="33">
        <v>45998</v>
      </c>
      <c r="C11" s="21"/>
      <c r="D11" s="22" t="s">
        <v>6</v>
      </c>
      <c r="E11" s="18"/>
      <c r="F11" s="18"/>
      <c r="G11" s="18"/>
      <c r="H11" s="18">
        <v>57</v>
      </c>
      <c r="I11" s="18">
        <v>0</v>
      </c>
      <c r="J11" s="18"/>
      <c r="K11" s="18"/>
      <c r="L11" s="18">
        <v>31</v>
      </c>
      <c r="M11" s="9" t="s">
        <v>156</v>
      </c>
    </row>
    <row r="12" spans="1:13" ht="15" customHeight="1">
      <c r="A12" s="7">
        <v>11</v>
      </c>
      <c r="B12" s="33">
        <v>45998</v>
      </c>
      <c r="C12" s="21"/>
      <c r="D12" s="22" t="e">
        <f>#REF!</f>
        <v>#REF!</v>
      </c>
      <c r="E12" s="18"/>
      <c r="F12" s="18"/>
      <c r="G12" s="18"/>
      <c r="H12" s="18">
        <v>4</v>
      </c>
      <c r="I12" s="18"/>
      <c r="J12" s="18">
        <v>100</v>
      </c>
      <c r="K12" s="18">
        <v>50</v>
      </c>
      <c r="L12" s="18"/>
      <c r="M12" s="45" t="s">
        <v>39</v>
      </c>
    </row>
    <row r="13" spans="1:13" ht="15" customHeight="1">
      <c r="A13" s="20">
        <v>12</v>
      </c>
      <c r="B13" s="33">
        <v>45998</v>
      </c>
      <c r="C13" s="21">
        <v>0.54166666666666663</v>
      </c>
      <c r="D13" s="22" t="s">
        <v>19</v>
      </c>
      <c r="E13" s="24"/>
      <c r="F13" s="24"/>
      <c r="G13" s="24"/>
      <c r="H13" s="24">
        <v>25</v>
      </c>
      <c r="I13" s="24">
        <v>52</v>
      </c>
      <c r="J13" s="24">
        <v>100</v>
      </c>
      <c r="K13" s="24">
        <v>50</v>
      </c>
      <c r="L13" s="24">
        <v>30</v>
      </c>
      <c r="M13" s="45" t="s">
        <v>157</v>
      </c>
    </row>
    <row r="14" spans="1:13" ht="15" customHeight="1">
      <c r="A14" s="7">
        <v>13</v>
      </c>
      <c r="B14" s="33">
        <v>45998</v>
      </c>
      <c r="C14" s="21">
        <v>0.70138888888888884</v>
      </c>
      <c r="D14" s="22" t="s">
        <v>26</v>
      </c>
      <c r="E14" s="18"/>
      <c r="F14" s="18"/>
      <c r="G14" s="18"/>
      <c r="H14" s="18">
        <v>54</v>
      </c>
      <c r="I14" s="18">
        <v>57</v>
      </c>
      <c r="J14" s="18">
        <v>150</v>
      </c>
      <c r="K14" s="18">
        <v>50</v>
      </c>
      <c r="L14" s="18">
        <v>64</v>
      </c>
      <c r="M14" s="9" t="s">
        <v>39</v>
      </c>
    </row>
    <row r="15" spans="1:13" ht="15" customHeight="1">
      <c r="A15" s="7">
        <v>14</v>
      </c>
      <c r="B15" s="33">
        <v>45998</v>
      </c>
      <c r="C15" s="21">
        <v>0.67708333333333337</v>
      </c>
      <c r="D15" s="22" t="s">
        <v>13</v>
      </c>
      <c r="E15" s="18"/>
      <c r="F15" s="18"/>
      <c r="G15" s="18"/>
      <c r="H15" s="18">
        <v>1.6</v>
      </c>
      <c r="I15" s="18">
        <v>265</v>
      </c>
      <c r="J15" s="18">
        <v>180</v>
      </c>
      <c r="K15" s="18">
        <v>21</v>
      </c>
      <c r="L15" s="18">
        <v>84</v>
      </c>
      <c r="M15" s="45" t="s">
        <v>158</v>
      </c>
    </row>
    <row r="16" spans="1:13" ht="15" customHeight="1">
      <c r="A16" s="7">
        <v>15</v>
      </c>
      <c r="B16" s="33">
        <v>45998</v>
      </c>
      <c r="C16" s="21">
        <v>0.64236111111111116</v>
      </c>
      <c r="D16" s="22" t="s">
        <v>17</v>
      </c>
      <c r="E16" s="18"/>
      <c r="F16" s="18"/>
      <c r="G16" s="18"/>
      <c r="H16" s="18">
        <v>54</v>
      </c>
      <c r="I16" s="18">
        <v>57</v>
      </c>
      <c r="J16" s="18">
        <v>150</v>
      </c>
      <c r="K16" s="18">
        <v>50</v>
      </c>
      <c r="L16" s="18">
        <v>64</v>
      </c>
      <c r="M16" s="45" t="s">
        <v>39</v>
      </c>
    </row>
    <row r="17" spans="1:13" ht="15" customHeight="1">
      <c r="A17" s="7">
        <v>16</v>
      </c>
      <c r="B17" s="33">
        <v>45998</v>
      </c>
      <c r="C17" s="21">
        <v>0.65277777777777779</v>
      </c>
      <c r="D17" s="22" t="s">
        <v>12</v>
      </c>
      <c r="E17" s="18"/>
      <c r="F17" s="18"/>
      <c r="G17" s="18"/>
      <c r="H17" s="18">
        <v>73</v>
      </c>
      <c r="I17" s="18">
        <v>0</v>
      </c>
      <c r="J17" s="18">
        <v>150</v>
      </c>
      <c r="K17" s="18">
        <v>50</v>
      </c>
      <c r="L17" s="18">
        <v>51</v>
      </c>
      <c r="M17" s="9" t="s">
        <v>39</v>
      </c>
    </row>
    <row r="18" spans="1:13" ht="15" customHeight="1">
      <c r="A18" s="7">
        <v>17</v>
      </c>
      <c r="B18" s="33">
        <v>45998</v>
      </c>
      <c r="C18" s="21">
        <v>0.66666666666666663</v>
      </c>
      <c r="D18" s="22" t="s">
        <v>11</v>
      </c>
      <c r="E18" s="18"/>
      <c r="F18" s="18"/>
      <c r="G18" s="18"/>
      <c r="H18" s="18">
        <v>42</v>
      </c>
      <c r="I18" s="18">
        <v>15</v>
      </c>
      <c r="J18" s="18">
        <v>100</v>
      </c>
      <c r="K18" s="18">
        <v>50</v>
      </c>
      <c r="L18" s="18">
        <v>53</v>
      </c>
      <c r="M18" s="9" t="s">
        <v>39</v>
      </c>
    </row>
    <row r="19" spans="1:13" ht="15" customHeight="1">
      <c r="A19" s="7">
        <v>18</v>
      </c>
      <c r="B19" s="33">
        <v>45998</v>
      </c>
      <c r="C19" s="21">
        <v>0.67291666666666672</v>
      </c>
      <c r="D19" s="22" t="s">
        <v>23</v>
      </c>
      <c r="E19" s="18"/>
      <c r="F19" s="18"/>
      <c r="G19" s="18"/>
      <c r="H19" s="18">
        <v>48</v>
      </c>
      <c r="I19" s="18">
        <v>44</v>
      </c>
      <c r="J19" s="18">
        <v>150</v>
      </c>
      <c r="K19" s="18">
        <v>50</v>
      </c>
      <c r="L19" s="18">
        <v>58</v>
      </c>
      <c r="M19" s="9" t="s">
        <v>39</v>
      </c>
    </row>
    <row r="20" spans="1:13" ht="15" customHeight="1">
      <c r="A20" s="7">
        <v>19</v>
      </c>
      <c r="B20" s="33">
        <v>45998</v>
      </c>
      <c r="C20" s="21">
        <v>0.67708333333333337</v>
      </c>
      <c r="D20" s="22" t="s">
        <v>24</v>
      </c>
      <c r="E20" s="18"/>
      <c r="F20" s="18"/>
      <c r="G20" s="18"/>
      <c r="H20" s="18">
        <v>36</v>
      </c>
      <c r="I20" s="18">
        <v>192</v>
      </c>
      <c r="J20" s="18">
        <v>100</v>
      </c>
      <c r="K20" s="18">
        <v>50</v>
      </c>
      <c r="L20" s="18">
        <v>60</v>
      </c>
      <c r="M20" s="45" t="s">
        <v>39</v>
      </c>
    </row>
    <row r="21" spans="1:13" ht="15" customHeight="1">
      <c r="A21" s="7">
        <v>20</v>
      </c>
      <c r="B21" s="33">
        <v>45998</v>
      </c>
      <c r="C21" s="21">
        <v>0.68055555555555558</v>
      </c>
      <c r="D21" s="22" t="s">
        <v>10</v>
      </c>
      <c r="E21" s="18"/>
      <c r="F21" s="18"/>
      <c r="G21" s="18"/>
      <c r="H21" s="18">
        <v>100</v>
      </c>
      <c r="I21" s="18">
        <v>112</v>
      </c>
      <c r="J21" s="18">
        <v>150</v>
      </c>
      <c r="K21" s="18">
        <v>50</v>
      </c>
      <c r="L21" s="18">
        <v>59</v>
      </c>
      <c r="M21" s="9" t="s">
        <v>39</v>
      </c>
    </row>
    <row r="22" spans="1:13" ht="15" customHeight="1">
      <c r="A22" s="7">
        <v>21</v>
      </c>
      <c r="B22" s="33">
        <v>45998</v>
      </c>
      <c r="C22" s="21">
        <v>0.6875</v>
      </c>
      <c r="D22" s="22" t="s">
        <v>7</v>
      </c>
      <c r="E22" s="18"/>
      <c r="F22" s="18"/>
      <c r="G22" s="18"/>
      <c r="H22" s="18">
        <v>75</v>
      </c>
      <c r="I22" s="18">
        <v>123</v>
      </c>
      <c r="J22" s="18">
        <v>100</v>
      </c>
      <c r="K22" s="18">
        <v>50</v>
      </c>
      <c r="L22" s="18">
        <v>73</v>
      </c>
      <c r="M22" s="45" t="s">
        <v>39</v>
      </c>
    </row>
    <row r="23" spans="1:13" ht="15" customHeight="1">
      <c r="A23" s="7">
        <v>22</v>
      </c>
      <c r="B23" s="33">
        <v>45998</v>
      </c>
      <c r="C23" s="21">
        <v>0.69097222222222221</v>
      </c>
      <c r="D23" s="22" t="s">
        <v>8</v>
      </c>
      <c r="E23" s="18"/>
      <c r="F23" s="18"/>
      <c r="G23" s="18"/>
      <c r="H23" s="18">
        <v>93</v>
      </c>
      <c r="I23" s="18">
        <v>88</v>
      </c>
      <c r="J23" s="18">
        <v>80</v>
      </c>
      <c r="K23" s="18">
        <v>60</v>
      </c>
      <c r="L23" s="18">
        <v>88</v>
      </c>
      <c r="M23" s="9" t="s">
        <v>39</v>
      </c>
    </row>
    <row r="24" spans="1:13" ht="15" customHeight="1">
      <c r="A24" s="20">
        <v>23</v>
      </c>
      <c r="B24" s="33">
        <v>45998</v>
      </c>
      <c r="C24" s="21">
        <v>0.4861111111111111</v>
      </c>
      <c r="D24" s="22" t="s">
        <v>21</v>
      </c>
      <c r="E24" s="23"/>
      <c r="F24" s="24"/>
      <c r="G24" s="24"/>
      <c r="H24" s="24">
        <v>70</v>
      </c>
      <c r="I24" s="24">
        <v>36</v>
      </c>
      <c r="J24" s="24">
        <v>75</v>
      </c>
      <c r="K24" s="24">
        <v>50</v>
      </c>
      <c r="L24" s="24">
        <v>59</v>
      </c>
      <c r="M24" s="46" t="s">
        <v>39</v>
      </c>
    </row>
    <row r="25" spans="1:13" ht="15" customHeight="1">
      <c r="A25" s="20">
        <v>24</v>
      </c>
      <c r="B25" s="33">
        <v>45998</v>
      </c>
      <c r="C25" s="21">
        <v>0.4826388888888889</v>
      </c>
      <c r="D25" s="22" t="s">
        <v>22</v>
      </c>
      <c r="E25" s="23"/>
      <c r="F25" s="24"/>
      <c r="G25" s="24"/>
      <c r="H25" s="24">
        <v>11</v>
      </c>
      <c r="I25" s="24">
        <v>0</v>
      </c>
      <c r="J25" s="24">
        <v>80</v>
      </c>
      <c r="K25" s="24">
        <v>60</v>
      </c>
      <c r="L25" s="24">
        <v>63</v>
      </c>
      <c r="M25" s="46" t="s">
        <v>159</v>
      </c>
    </row>
    <row r="26" spans="1:13" ht="15" customHeight="1">
      <c r="A26" s="7">
        <v>25</v>
      </c>
      <c r="B26" s="33">
        <v>45998</v>
      </c>
      <c r="C26" s="21"/>
      <c r="D26" s="22" t="s">
        <v>25</v>
      </c>
      <c r="E26" s="5"/>
      <c r="F26" s="18"/>
      <c r="G26" s="18"/>
      <c r="H26" s="18">
        <v>242</v>
      </c>
      <c r="I26" s="18">
        <v>213</v>
      </c>
      <c r="J26" s="18"/>
      <c r="K26" s="18"/>
      <c r="L26" s="18">
        <v>51</v>
      </c>
      <c r="M26" s="45" t="s">
        <v>39</v>
      </c>
    </row>
    <row r="27" spans="1:13" ht="15" customHeight="1">
      <c r="A27" s="7">
        <v>26</v>
      </c>
      <c r="B27" s="33">
        <v>45998</v>
      </c>
      <c r="C27" s="47">
        <v>0.48958333333333331</v>
      </c>
      <c r="D27" s="22" t="s">
        <v>27</v>
      </c>
      <c r="E27" s="18"/>
      <c r="F27" s="18"/>
      <c r="G27" s="18"/>
      <c r="H27" s="36"/>
      <c r="I27" s="36"/>
      <c r="J27" s="36"/>
      <c r="K27" s="36"/>
      <c r="L27" s="36"/>
      <c r="M27" s="45">
        <v>7763216</v>
      </c>
    </row>
    <row r="28" spans="1:13" ht="15" customHeight="1">
      <c r="A28" s="7">
        <v>27</v>
      </c>
      <c r="B28" s="33"/>
      <c r="C28" s="24"/>
      <c r="D28" s="18" t="s">
        <v>179</v>
      </c>
      <c r="E28" s="18"/>
      <c r="F28" s="18"/>
      <c r="G28" s="18"/>
      <c r="H28" s="18"/>
      <c r="I28" s="18"/>
      <c r="J28" s="18"/>
      <c r="K28" s="18"/>
      <c r="L28" s="18"/>
      <c r="M28" s="45" t="s">
        <v>132</v>
      </c>
    </row>
    <row r="29" spans="1:13" ht="24.6">
      <c r="A29" s="7">
        <v>28</v>
      </c>
      <c r="B29" s="33"/>
      <c r="C29" s="21"/>
      <c r="D29" s="22" t="s">
        <v>77</v>
      </c>
      <c r="E29" s="18"/>
      <c r="F29" s="18"/>
      <c r="G29" s="18"/>
      <c r="H29" s="18"/>
      <c r="I29" s="18"/>
      <c r="J29" s="18"/>
      <c r="K29" s="18"/>
      <c r="L29" s="18"/>
      <c r="M29" s="45" t="s">
        <v>160</v>
      </c>
    </row>
    <row r="30" spans="1:13" ht="24.6">
      <c r="A30" s="7">
        <v>29</v>
      </c>
      <c r="B30" s="33"/>
      <c r="C30" s="24"/>
      <c r="D30" s="22" t="s">
        <v>140</v>
      </c>
      <c r="E30" s="18"/>
      <c r="F30" s="18"/>
      <c r="G30" s="18"/>
      <c r="H30" s="18"/>
      <c r="I30" s="18"/>
      <c r="J30" s="18"/>
      <c r="K30" s="18"/>
      <c r="L30" s="18"/>
      <c r="M30" s="45" t="s">
        <v>105</v>
      </c>
    </row>
    <row r="31" spans="1:13" ht="12.3">
      <c r="A31" s="7">
        <v>30</v>
      </c>
      <c r="B31" s="33"/>
      <c r="C31" s="24"/>
      <c r="D31" s="22" t="s">
        <v>28</v>
      </c>
      <c r="E31" s="18"/>
      <c r="F31" s="18"/>
      <c r="G31" s="18"/>
      <c r="H31" s="18"/>
      <c r="I31" s="18"/>
      <c r="J31" s="18"/>
      <c r="K31" s="18"/>
      <c r="L31" s="18"/>
      <c r="M31" s="45" t="s">
        <v>133</v>
      </c>
    </row>
    <row r="32" spans="1:13" ht="12.3">
      <c r="A32" s="7">
        <v>31</v>
      </c>
      <c r="B32" s="33"/>
      <c r="C32" s="24"/>
      <c r="D32" s="22" t="s">
        <v>14</v>
      </c>
      <c r="E32" s="18"/>
      <c r="F32" s="18"/>
      <c r="G32" s="18"/>
      <c r="H32" s="18"/>
      <c r="I32" s="18"/>
      <c r="J32" s="18"/>
      <c r="K32" s="18"/>
      <c r="L32" s="18"/>
      <c r="M32" s="9" t="s">
        <v>141</v>
      </c>
    </row>
    <row r="33" spans="1:13" ht="12.3">
      <c r="A33" s="7">
        <v>32</v>
      </c>
      <c r="B33" s="33"/>
      <c r="C33" s="24"/>
      <c r="D33" s="22"/>
      <c r="E33" s="18"/>
      <c r="F33" s="18"/>
      <c r="G33" s="18"/>
      <c r="H33" s="18"/>
      <c r="I33" s="18"/>
      <c r="J33" s="18"/>
      <c r="K33" s="18"/>
      <c r="L33" s="18"/>
      <c r="M33" s="9"/>
    </row>
    <row r="34" spans="1:13" ht="12.3">
      <c r="A34" s="7">
        <v>33</v>
      </c>
      <c r="B34" s="33"/>
      <c r="C34" s="24"/>
      <c r="D34" s="24"/>
      <c r="E34" s="18"/>
      <c r="F34" s="18"/>
      <c r="G34" s="18"/>
      <c r="H34" s="18"/>
      <c r="I34" s="18"/>
      <c r="J34" s="18"/>
      <c r="K34" s="18"/>
      <c r="L34" s="18"/>
      <c r="M34" s="9"/>
    </row>
    <row r="35" spans="1:13" ht="12.3">
      <c r="A35" s="7">
        <v>34</v>
      </c>
      <c r="B35" s="33"/>
      <c r="C35" s="24"/>
      <c r="D35" s="24"/>
      <c r="E35" s="18"/>
      <c r="F35" s="18"/>
      <c r="G35" s="18"/>
      <c r="H35" s="18"/>
      <c r="I35" s="18"/>
      <c r="J35" s="18"/>
      <c r="K35" s="18"/>
      <c r="L35" s="18"/>
      <c r="M35" s="9"/>
    </row>
    <row r="36" spans="1:13" ht="12.3">
      <c r="A36" s="7">
        <v>35</v>
      </c>
      <c r="B36" s="33"/>
      <c r="C36" s="24"/>
      <c r="D36" s="24"/>
      <c r="E36" s="18"/>
      <c r="F36" s="18"/>
      <c r="G36" s="18"/>
      <c r="H36" s="18"/>
      <c r="I36" s="18"/>
      <c r="J36" s="18"/>
      <c r="K36" s="18"/>
      <c r="L36" s="18"/>
      <c r="M36" s="9"/>
    </row>
    <row r="37" spans="1:13" ht="12.3">
      <c r="A37" s="7">
        <v>36</v>
      </c>
      <c r="B37" s="34"/>
      <c r="C37" s="34"/>
      <c r="D37" s="34"/>
      <c r="H37" s="1">
        <f>SUM(H2:H36)</f>
        <v>1472.6</v>
      </c>
      <c r="M37" s="10"/>
    </row>
  </sheetData>
  <mergeCells count="1">
    <mergeCell ref="E8:E9"/>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1:M37"/>
  <sheetViews>
    <sheetView topLeftCell="A16" workbookViewId="0">
      <selection activeCell="D28" sqref="D28"/>
    </sheetView>
  </sheetViews>
  <sheetFormatPr defaultColWidth="12.609375" defaultRowHeight="15" customHeight="1"/>
  <cols>
    <col min="1" max="1" width="2.88671875" customWidth="1"/>
    <col min="4" max="4" width="18.88671875" customWidth="1"/>
    <col min="13" max="13" width="22.609375" customWidth="1"/>
  </cols>
  <sheetData>
    <row r="1" spans="1:13" ht="15" customHeight="1">
      <c r="A1" s="41"/>
      <c r="B1" s="42" t="s">
        <v>29</v>
      </c>
      <c r="C1" s="43" t="s">
        <v>37</v>
      </c>
      <c r="D1" s="43" t="s">
        <v>36</v>
      </c>
      <c r="E1" s="13" t="s">
        <v>175</v>
      </c>
      <c r="F1" s="8" t="s">
        <v>176</v>
      </c>
      <c r="G1" s="13" t="s">
        <v>177</v>
      </c>
      <c r="H1" s="13" t="s">
        <v>178</v>
      </c>
      <c r="I1" s="13" t="s">
        <v>38</v>
      </c>
      <c r="J1" s="13" t="s">
        <v>32</v>
      </c>
      <c r="K1" s="13" t="s">
        <v>33</v>
      </c>
      <c r="L1" s="13" t="s">
        <v>34</v>
      </c>
      <c r="M1" s="44" t="s">
        <v>35</v>
      </c>
    </row>
    <row r="2" spans="1:13" ht="15" customHeight="1">
      <c r="A2" s="7">
        <v>1</v>
      </c>
      <c r="B2" s="33">
        <v>45999</v>
      </c>
      <c r="C2" s="21">
        <v>0.64236111111111116</v>
      </c>
      <c r="D2" s="22" t="s">
        <v>18</v>
      </c>
      <c r="E2" s="18">
        <v>1</v>
      </c>
      <c r="F2" s="24">
        <v>4</v>
      </c>
      <c r="G2" s="18">
        <v>5</v>
      </c>
      <c r="H2" s="18">
        <v>25</v>
      </c>
      <c r="I2" s="18">
        <v>30</v>
      </c>
      <c r="J2" s="18">
        <v>120</v>
      </c>
      <c r="K2" s="18"/>
      <c r="L2" s="18">
        <v>31</v>
      </c>
      <c r="M2" s="45" t="s">
        <v>39</v>
      </c>
    </row>
    <row r="3" spans="1:13" ht="15" customHeight="1">
      <c r="A3" s="20">
        <v>2</v>
      </c>
      <c r="B3" s="33">
        <v>45999</v>
      </c>
      <c r="C3" s="21">
        <v>0.64930555555555558</v>
      </c>
      <c r="D3" s="22" t="s">
        <v>20</v>
      </c>
      <c r="E3" s="23">
        <v>1</v>
      </c>
      <c r="F3" s="24">
        <v>3</v>
      </c>
      <c r="G3" s="24">
        <v>1</v>
      </c>
      <c r="H3" s="24">
        <v>209</v>
      </c>
      <c r="I3" s="24">
        <v>161</v>
      </c>
      <c r="J3" s="24">
        <v>100</v>
      </c>
      <c r="K3" s="24">
        <v>5</v>
      </c>
      <c r="L3" s="24">
        <v>37</v>
      </c>
      <c r="M3" s="46" t="s">
        <v>39</v>
      </c>
    </row>
    <row r="4" spans="1:13" ht="15" customHeight="1">
      <c r="A4" s="20">
        <v>3</v>
      </c>
      <c r="B4" s="33">
        <v>45999</v>
      </c>
      <c r="C4" s="21">
        <v>0.65625</v>
      </c>
      <c r="D4" s="22" t="s">
        <v>2</v>
      </c>
      <c r="E4" s="24">
        <v>2</v>
      </c>
      <c r="F4" s="24">
        <v>1</v>
      </c>
      <c r="G4" s="24">
        <v>0</v>
      </c>
      <c r="H4" s="24">
        <v>100</v>
      </c>
      <c r="I4" s="24">
        <v>26</v>
      </c>
      <c r="J4" s="24">
        <v>15</v>
      </c>
      <c r="K4" s="24">
        <v>50</v>
      </c>
      <c r="L4" s="24">
        <v>41</v>
      </c>
      <c r="M4" s="46" t="s">
        <v>39</v>
      </c>
    </row>
    <row r="5" spans="1:13" ht="15" customHeight="1">
      <c r="A5" s="7">
        <v>4</v>
      </c>
      <c r="B5" s="33">
        <v>45999</v>
      </c>
      <c r="C5" s="21">
        <v>0.66319444444444442</v>
      </c>
      <c r="D5" s="22" t="s">
        <v>3</v>
      </c>
      <c r="E5" s="18">
        <v>1</v>
      </c>
      <c r="F5" s="18">
        <v>2</v>
      </c>
      <c r="G5" s="18">
        <v>3</v>
      </c>
      <c r="H5" s="18">
        <v>30</v>
      </c>
      <c r="I5" s="18">
        <v>130</v>
      </c>
      <c r="J5" s="18">
        <v>15</v>
      </c>
      <c r="K5" s="18">
        <v>30</v>
      </c>
      <c r="L5" s="18">
        <v>43</v>
      </c>
      <c r="M5" s="9" t="s">
        <v>39</v>
      </c>
    </row>
    <row r="6" spans="1:13" ht="15" customHeight="1">
      <c r="A6" s="7">
        <v>5</v>
      </c>
      <c r="B6" s="33">
        <v>45999</v>
      </c>
      <c r="C6" s="21">
        <v>0.67013888888888884</v>
      </c>
      <c r="D6" s="22" t="s">
        <v>9</v>
      </c>
      <c r="E6" s="18">
        <v>1</v>
      </c>
      <c r="F6" s="18">
        <v>3</v>
      </c>
      <c r="G6" s="18">
        <v>4</v>
      </c>
      <c r="H6" s="18">
        <v>256</v>
      </c>
      <c r="I6" s="18">
        <v>271</v>
      </c>
      <c r="J6" s="18">
        <v>15</v>
      </c>
      <c r="K6" s="18">
        <v>30</v>
      </c>
      <c r="L6" s="18">
        <v>38</v>
      </c>
      <c r="M6" s="45" t="s">
        <v>39</v>
      </c>
    </row>
    <row r="7" spans="1:13" ht="15" customHeight="1">
      <c r="A7" s="7">
        <v>6</v>
      </c>
      <c r="B7" s="33">
        <v>45999</v>
      </c>
      <c r="C7" s="21">
        <v>0.67708333333333337</v>
      </c>
      <c r="D7" s="22" t="s">
        <v>4</v>
      </c>
      <c r="E7" s="18">
        <v>1</v>
      </c>
      <c r="F7" s="18">
        <v>2</v>
      </c>
      <c r="G7" s="18">
        <v>3</v>
      </c>
      <c r="H7" s="18">
        <v>207</v>
      </c>
      <c r="I7" s="18">
        <v>153</v>
      </c>
      <c r="J7" s="18">
        <v>60</v>
      </c>
      <c r="K7" s="18">
        <v>80</v>
      </c>
      <c r="L7" s="18">
        <v>37</v>
      </c>
      <c r="M7" s="45" t="s">
        <v>39</v>
      </c>
    </row>
    <row r="8" spans="1:13" ht="15" customHeight="1">
      <c r="A8" s="7">
        <v>7</v>
      </c>
      <c r="B8" s="33">
        <v>45999</v>
      </c>
      <c r="C8" s="21">
        <v>0.69097222222222221</v>
      </c>
      <c r="D8" s="22" t="s">
        <v>15</v>
      </c>
      <c r="E8" s="49">
        <v>1</v>
      </c>
      <c r="F8" s="18">
        <v>2</v>
      </c>
      <c r="G8" s="18">
        <v>2</v>
      </c>
      <c r="H8" s="18">
        <v>48</v>
      </c>
      <c r="I8" s="18">
        <v>40</v>
      </c>
      <c r="J8" s="18">
        <v>100</v>
      </c>
      <c r="K8" s="18">
        <v>50</v>
      </c>
      <c r="L8" s="18">
        <v>39</v>
      </c>
      <c r="M8" s="45" t="s">
        <v>39</v>
      </c>
    </row>
    <row r="9" spans="1:13" ht="15" customHeight="1">
      <c r="A9" s="7">
        <v>8</v>
      </c>
      <c r="B9" s="33">
        <v>45999</v>
      </c>
      <c r="C9" s="21"/>
      <c r="D9" s="22" t="s">
        <v>16</v>
      </c>
      <c r="E9" s="50"/>
      <c r="F9" s="18"/>
      <c r="G9" s="18"/>
      <c r="H9" s="18"/>
      <c r="I9" s="18"/>
      <c r="J9" s="18"/>
      <c r="K9" s="18"/>
      <c r="L9" s="18"/>
      <c r="M9" s="45" t="s">
        <v>142</v>
      </c>
    </row>
    <row r="10" spans="1:13" ht="15" customHeight="1">
      <c r="A10" s="20">
        <v>9</v>
      </c>
      <c r="B10" s="33">
        <v>45999</v>
      </c>
      <c r="C10" s="21">
        <v>0.625</v>
      </c>
      <c r="D10" s="22" t="s">
        <v>5</v>
      </c>
      <c r="E10" s="23">
        <v>1</v>
      </c>
      <c r="F10" s="24">
        <v>2</v>
      </c>
      <c r="G10" s="24">
        <v>10</v>
      </c>
      <c r="H10" s="24">
        <v>0</v>
      </c>
      <c r="I10" s="24">
        <v>0</v>
      </c>
      <c r="J10" s="24">
        <v>150</v>
      </c>
      <c r="K10" s="24">
        <v>50</v>
      </c>
      <c r="L10" s="24">
        <v>32</v>
      </c>
      <c r="M10" s="45" t="s">
        <v>39</v>
      </c>
    </row>
    <row r="11" spans="1:13" ht="15" customHeight="1">
      <c r="A11" s="7">
        <v>10</v>
      </c>
      <c r="B11" s="33">
        <v>45999</v>
      </c>
      <c r="C11" s="21"/>
      <c r="D11" s="22" t="s">
        <v>6</v>
      </c>
      <c r="E11" s="18"/>
      <c r="F11" s="18"/>
      <c r="G11" s="18"/>
      <c r="H11" s="18">
        <v>59</v>
      </c>
      <c r="I11" s="18">
        <v>387</v>
      </c>
      <c r="J11" s="18"/>
      <c r="K11" s="18"/>
      <c r="L11" s="18">
        <v>41</v>
      </c>
      <c r="M11" s="9" t="s">
        <v>161</v>
      </c>
    </row>
    <row r="12" spans="1:13" ht="15" customHeight="1">
      <c r="A12" s="7">
        <v>11</v>
      </c>
      <c r="B12" s="33">
        <v>45999</v>
      </c>
      <c r="C12" s="21"/>
      <c r="D12" s="22" t="e">
        <f>#REF!</f>
        <v>#REF!</v>
      </c>
      <c r="E12" s="18">
        <v>1</v>
      </c>
      <c r="F12" s="18">
        <v>5</v>
      </c>
      <c r="G12" s="18">
        <v>9</v>
      </c>
      <c r="H12" s="18">
        <v>2</v>
      </c>
      <c r="I12" s="18"/>
      <c r="J12" s="18">
        <v>100</v>
      </c>
      <c r="K12" s="18">
        <v>50</v>
      </c>
      <c r="L12" s="18"/>
      <c r="M12" s="18" t="s">
        <v>39</v>
      </c>
    </row>
    <row r="13" spans="1:13" ht="15" customHeight="1">
      <c r="A13" s="20">
        <v>12</v>
      </c>
      <c r="B13" s="33">
        <v>45999</v>
      </c>
      <c r="C13" s="21">
        <v>0.70833333333333337</v>
      </c>
      <c r="D13" s="22" t="s">
        <v>19</v>
      </c>
      <c r="E13" s="24">
        <v>1</v>
      </c>
      <c r="F13" s="24">
        <v>2</v>
      </c>
      <c r="G13" s="24">
        <v>3</v>
      </c>
      <c r="H13" s="24">
        <v>39</v>
      </c>
      <c r="I13" s="24">
        <v>25</v>
      </c>
      <c r="J13" s="24">
        <v>130</v>
      </c>
      <c r="K13" s="24">
        <v>30</v>
      </c>
      <c r="L13" s="24">
        <v>30</v>
      </c>
      <c r="M13" s="45" t="s">
        <v>162</v>
      </c>
    </row>
    <row r="14" spans="1:13" ht="15" customHeight="1">
      <c r="A14" s="7">
        <v>13</v>
      </c>
      <c r="B14" s="33">
        <v>45999</v>
      </c>
      <c r="C14" s="21">
        <v>0.32291666666666669</v>
      </c>
      <c r="D14" s="22" t="s">
        <v>26</v>
      </c>
      <c r="E14" s="18"/>
      <c r="F14" s="18"/>
      <c r="G14" s="18"/>
      <c r="H14" s="18"/>
      <c r="I14" s="18"/>
      <c r="J14" s="18"/>
      <c r="K14" s="18"/>
      <c r="L14" s="18"/>
      <c r="M14" s="9">
        <v>5647239.2000000002</v>
      </c>
    </row>
    <row r="15" spans="1:13" ht="15" customHeight="1">
      <c r="A15" s="7">
        <v>14</v>
      </c>
      <c r="B15" s="33">
        <v>45999</v>
      </c>
      <c r="C15" s="21">
        <v>0.3263888888888889</v>
      </c>
      <c r="D15" s="22" t="s">
        <v>13</v>
      </c>
      <c r="E15" s="18">
        <v>2</v>
      </c>
      <c r="F15" s="18">
        <v>6</v>
      </c>
      <c r="G15" s="18">
        <v>11</v>
      </c>
      <c r="H15" s="18">
        <v>50.9</v>
      </c>
      <c r="I15" s="18">
        <v>0</v>
      </c>
      <c r="J15" s="18">
        <v>70</v>
      </c>
      <c r="K15" s="18">
        <v>5</v>
      </c>
      <c r="L15" s="18">
        <v>70</v>
      </c>
      <c r="M15" s="45" t="s">
        <v>39</v>
      </c>
    </row>
    <row r="16" spans="1:13" ht="15" customHeight="1">
      <c r="A16" s="7">
        <v>15</v>
      </c>
      <c r="B16" s="33">
        <v>45999</v>
      </c>
      <c r="C16" s="21">
        <v>0.34722222222222221</v>
      </c>
      <c r="D16" s="22" t="s">
        <v>17</v>
      </c>
      <c r="E16" s="18">
        <v>1</v>
      </c>
      <c r="F16" s="18">
        <v>14</v>
      </c>
      <c r="G16" s="18">
        <v>0.5</v>
      </c>
      <c r="H16" s="18">
        <v>53.2</v>
      </c>
      <c r="I16" s="18">
        <v>51</v>
      </c>
      <c r="J16" s="18">
        <v>110</v>
      </c>
      <c r="K16" s="18">
        <v>55</v>
      </c>
      <c r="L16" s="18">
        <v>63</v>
      </c>
      <c r="M16" s="45" t="s">
        <v>163</v>
      </c>
    </row>
    <row r="17" spans="1:13" ht="15" customHeight="1">
      <c r="A17" s="7">
        <v>16</v>
      </c>
      <c r="B17" s="33">
        <v>45999</v>
      </c>
      <c r="C17" s="21">
        <v>0.39583333333333331</v>
      </c>
      <c r="D17" s="22" t="s">
        <v>12</v>
      </c>
      <c r="E17" s="18">
        <v>1</v>
      </c>
      <c r="F17" s="18">
        <v>7</v>
      </c>
      <c r="G17" s="18">
        <v>7</v>
      </c>
      <c r="H17" s="18">
        <v>46</v>
      </c>
      <c r="I17" s="18">
        <v>193</v>
      </c>
      <c r="J17" s="18">
        <v>1103</v>
      </c>
      <c r="K17" s="18">
        <v>4</v>
      </c>
      <c r="L17" s="18">
        <v>58.8</v>
      </c>
      <c r="M17" s="9" t="s">
        <v>39</v>
      </c>
    </row>
    <row r="18" spans="1:13" ht="15" customHeight="1">
      <c r="A18" s="7">
        <v>17</v>
      </c>
      <c r="B18" s="33">
        <v>45999</v>
      </c>
      <c r="C18" s="21">
        <v>0.3611111111111111</v>
      </c>
      <c r="D18" s="22" t="s">
        <v>11</v>
      </c>
      <c r="E18" s="18">
        <v>2</v>
      </c>
      <c r="F18" s="18">
        <v>9</v>
      </c>
      <c r="G18" s="18">
        <v>9</v>
      </c>
      <c r="H18" s="18">
        <v>47</v>
      </c>
      <c r="I18" s="18">
        <v>192</v>
      </c>
      <c r="J18" s="18">
        <v>78</v>
      </c>
      <c r="K18" s="18">
        <v>5</v>
      </c>
      <c r="L18" s="18">
        <v>55.8</v>
      </c>
      <c r="M18" s="9" t="s">
        <v>39</v>
      </c>
    </row>
    <row r="19" spans="1:13" ht="15" customHeight="1">
      <c r="A19" s="7">
        <v>18</v>
      </c>
      <c r="B19" s="33">
        <v>45999</v>
      </c>
      <c r="C19" s="21">
        <v>0.38541666666666669</v>
      </c>
      <c r="D19" s="22" t="s">
        <v>23</v>
      </c>
      <c r="E19" s="18">
        <v>1</v>
      </c>
      <c r="F19" s="18">
        <v>12</v>
      </c>
      <c r="G19" s="18">
        <v>4</v>
      </c>
      <c r="H19" s="18">
        <v>47.4</v>
      </c>
      <c r="I19" s="18">
        <v>43.4</v>
      </c>
      <c r="J19" s="18">
        <v>80</v>
      </c>
      <c r="K19" s="18">
        <v>50</v>
      </c>
      <c r="L19" s="18">
        <v>55.7</v>
      </c>
      <c r="M19" s="9" t="s">
        <v>39</v>
      </c>
    </row>
    <row r="20" spans="1:13" ht="15" customHeight="1">
      <c r="A20" s="7">
        <v>19</v>
      </c>
      <c r="B20" s="33">
        <v>45999</v>
      </c>
      <c r="C20" s="21">
        <v>0.42083333333333334</v>
      </c>
      <c r="D20" s="22" t="s">
        <v>24</v>
      </c>
      <c r="E20" s="18">
        <v>1</v>
      </c>
      <c r="F20" s="18">
        <v>1</v>
      </c>
      <c r="G20" s="18">
        <v>11</v>
      </c>
      <c r="H20" s="18">
        <v>33</v>
      </c>
      <c r="I20" s="18">
        <v>0</v>
      </c>
      <c r="J20" s="18">
        <v>54</v>
      </c>
      <c r="K20" s="18">
        <v>75</v>
      </c>
      <c r="L20" s="18">
        <v>55.8</v>
      </c>
      <c r="M20" s="45" t="s">
        <v>164</v>
      </c>
    </row>
    <row r="21" spans="1:13" ht="15" customHeight="1">
      <c r="A21" s="7">
        <v>20</v>
      </c>
      <c r="B21" s="33">
        <v>45999</v>
      </c>
      <c r="C21" s="21">
        <v>0.42708333333333331</v>
      </c>
      <c r="D21" s="22" t="s">
        <v>10</v>
      </c>
      <c r="E21" s="18">
        <v>1</v>
      </c>
      <c r="F21" s="18">
        <v>6</v>
      </c>
      <c r="G21" s="18">
        <v>8</v>
      </c>
      <c r="H21" s="18">
        <v>7.1</v>
      </c>
      <c r="I21" s="18">
        <v>95.7</v>
      </c>
      <c r="J21" s="18">
        <v>53</v>
      </c>
      <c r="K21" s="18">
        <v>49</v>
      </c>
      <c r="L21" s="18">
        <v>56.4</v>
      </c>
      <c r="M21" s="9" t="s">
        <v>39</v>
      </c>
    </row>
    <row r="22" spans="1:13" ht="15" customHeight="1">
      <c r="A22" s="7">
        <v>21</v>
      </c>
      <c r="B22" s="33">
        <v>45999</v>
      </c>
      <c r="C22" s="21">
        <v>0.4513888888888889</v>
      </c>
      <c r="D22" s="22" t="s">
        <v>7</v>
      </c>
      <c r="E22" s="18">
        <v>1</v>
      </c>
      <c r="F22" s="18">
        <v>4</v>
      </c>
      <c r="G22" s="18">
        <v>10</v>
      </c>
      <c r="H22" s="18">
        <v>6</v>
      </c>
      <c r="I22" s="18">
        <v>0</v>
      </c>
      <c r="J22" s="18">
        <v>95.1</v>
      </c>
      <c r="K22" s="18">
        <v>62.1</v>
      </c>
      <c r="L22" s="18">
        <v>69.599999999999994</v>
      </c>
      <c r="M22" s="45" t="s">
        <v>165</v>
      </c>
    </row>
    <row r="23" spans="1:13" ht="15" customHeight="1">
      <c r="A23" s="7">
        <v>22</v>
      </c>
      <c r="B23" s="33">
        <v>45999</v>
      </c>
      <c r="C23" s="21">
        <v>0.44305555555555554</v>
      </c>
      <c r="D23" s="22" t="s">
        <v>8</v>
      </c>
      <c r="E23" s="18">
        <v>1</v>
      </c>
      <c r="F23" s="18">
        <v>4</v>
      </c>
      <c r="G23" s="18">
        <v>10</v>
      </c>
      <c r="H23" s="18">
        <v>98</v>
      </c>
      <c r="I23" s="18">
        <v>75</v>
      </c>
      <c r="J23" s="18"/>
      <c r="K23" s="18"/>
      <c r="L23" s="18">
        <v>85.1</v>
      </c>
      <c r="M23" s="9" t="s">
        <v>39</v>
      </c>
    </row>
    <row r="24" spans="1:13" ht="15" customHeight="1">
      <c r="A24" s="20">
        <v>23</v>
      </c>
      <c r="B24" s="33">
        <v>45999</v>
      </c>
      <c r="C24" s="21">
        <v>0.32291666666666669</v>
      </c>
      <c r="D24" s="22" t="s">
        <v>21</v>
      </c>
      <c r="E24" s="23">
        <v>1</v>
      </c>
      <c r="F24" s="24">
        <v>7</v>
      </c>
      <c r="G24" s="24">
        <v>1</v>
      </c>
      <c r="H24" s="24">
        <v>66</v>
      </c>
      <c r="I24" s="24">
        <v>85</v>
      </c>
      <c r="J24" s="24">
        <v>75</v>
      </c>
      <c r="K24" s="24">
        <v>50</v>
      </c>
      <c r="L24" s="24">
        <v>60</v>
      </c>
      <c r="M24" s="46" t="s">
        <v>39</v>
      </c>
    </row>
    <row r="25" spans="1:13" ht="15" customHeight="1">
      <c r="A25" s="20">
        <v>24</v>
      </c>
      <c r="B25" s="33">
        <v>45999</v>
      </c>
      <c r="C25" s="21">
        <v>0.31597222222222221</v>
      </c>
      <c r="D25" s="22" t="s">
        <v>22</v>
      </c>
      <c r="E25" s="23">
        <v>1</v>
      </c>
      <c r="F25" s="24">
        <v>4</v>
      </c>
      <c r="G25" s="24">
        <v>0</v>
      </c>
      <c r="H25" s="24">
        <v>10</v>
      </c>
      <c r="I25" s="24">
        <v>223</v>
      </c>
      <c r="J25" s="24">
        <v>80</v>
      </c>
      <c r="K25" s="24">
        <v>60</v>
      </c>
      <c r="L25" s="24">
        <v>63</v>
      </c>
      <c r="M25" s="46" t="s">
        <v>166</v>
      </c>
    </row>
    <row r="26" spans="1:13" ht="12.3">
      <c r="A26" s="7">
        <v>25</v>
      </c>
      <c r="B26" s="33">
        <v>45999</v>
      </c>
      <c r="C26" s="21">
        <v>0.34027777777777779</v>
      </c>
      <c r="D26" s="22" t="s">
        <v>25</v>
      </c>
      <c r="E26" s="5">
        <v>1</v>
      </c>
      <c r="F26" s="18">
        <v>6</v>
      </c>
      <c r="G26" s="18"/>
      <c r="H26" s="18">
        <v>243</v>
      </c>
      <c r="I26" s="18">
        <v>236</v>
      </c>
      <c r="J26" s="18">
        <v>80</v>
      </c>
      <c r="K26" s="18">
        <v>60</v>
      </c>
      <c r="L26" s="18">
        <v>52</v>
      </c>
      <c r="M26" s="45" t="s">
        <v>167</v>
      </c>
    </row>
    <row r="27" spans="1:13" ht="12.3">
      <c r="A27" s="7">
        <v>26</v>
      </c>
      <c r="B27" s="33">
        <v>45999</v>
      </c>
      <c r="C27" s="47">
        <v>0.34027777777777779</v>
      </c>
      <c r="D27" s="22" t="s">
        <v>27</v>
      </c>
      <c r="E27" s="18"/>
      <c r="F27" s="18"/>
      <c r="G27" s="18"/>
      <c r="H27" s="36"/>
      <c r="I27" s="36"/>
      <c r="J27" s="36"/>
      <c r="K27" s="36"/>
      <c r="L27" s="36"/>
      <c r="M27" s="45">
        <v>7763371</v>
      </c>
    </row>
    <row r="28" spans="1:13" ht="24.6">
      <c r="A28" s="7">
        <v>27</v>
      </c>
      <c r="B28" s="33">
        <v>45999</v>
      </c>
      <c r="C28" s="21">
        <v>0.43958333333333333</v>
      </c>
      <c r="D28" s="18" t="s">
        <v>179</v>
      </c>
      <c r="E28" s="18"/>
      <c r="F28" s="18"/>
      <c r="G28" s="18"/>
      <c r="H28" s="18"/>
      <c r="I28" s="18"/>
      <c r="J28" s="18"/>
      <c r="K28" s="18"/>
      <c r="L28" s="18"/>
      <c r="M28" s="45" t="s">
        <v>168</v>
      </c>
    </row>
    <row r="29" spans="1:13" ht="61.5">
      <c r="A29" s="7">
        <v>28</v>
      </c>
      <c r="B29" s="33">
        <v>45999</v>
      </c>
      <c r="C29" s="21"/>
      <c r="D29" s="22" t="s">
        <v>77</v>
      </c>
      <c r="E29" s="18"/>
      <c r="F29" s="18"/>
      <c r="G29" s="18"/>
      <c r="H29" s="18"/>
      <c r="I29" s="18"/>
      <c r="J29" s="18"/>
      <c r="K29" s="18"/>
      <c r="L29" s="18"/>
      <c r="M29" s="45" t="s">
        <v>139</v>
      </c>
    </row>
    <row r="30" spans="1:13" ht="61.5">
      <c r="A30" s="7">
        <v>29</v>
      </c>
      <c r="B30" s="33">
        <v>45999</v>
      </c>
      <c r="C30" s="24"/>
      <c r="D30" s="22" t="s">
        <v>140</v>
      </c>
      <c r="E30" s="18"/>
      <c r="F30" s="18"/>
      <c r="G30" s="18"/>
      <c r="H30" s="18"/>
      <c r="I30" s="18"/>
      <c r="J30" s="18"/>
      <c r="K30" s="18"/>
      <c r="L30" s="18"/>
      <c r="M30" s="45" t="s">
        <v>105</v>
      </c>
    </row>
    <row r="31" spans="1:13" ht="24.6">
      <c r="A31" s="7">
        <v>30</v>
      </c>
      <c r="B31" s="33">
        <v>45999</v>
      </c>
      <c r="C31" s="24"/>
      <c r="D31" s="22" t="s">
        <v>28</v>
      </c>
      <c r="E31" s="18"/>
      <c r="F31" s="18"/>
      <c r="G31" s="18"/>
      <c r="H31" s="18"/>
      <c r="I31" s="18"/>
      <c r="J31" s="18"/>
      <c r="K31" s="18"/>
      <c r="L31" s="18"/>
      <c r="M31" s="45" t="s">
        <v>133</v>
      </c>
    </row>
    <row r="32" spans="1:13" ht="12.3">
      <c r="A32" s="7">
        <v>31</v>
      </c>
      <c r="B32" s="33">
        <v>45999</v>
      </c>
      <c r="C32" s="24"/>
      <c r="D32" s="22" t="s">
        <v>14</v>
      </c>
      <c r="E32" s="18"/>
      <c r="F32" s="18"/>
      <c r="G32" s="18"/>
      <c r="H32" s="18"/>
      <c r="I32" s="18"/>
      <c r="J32" s="18"/>
      <c r="K32" s="18"/>
      <c r="L32" s="18"/>
      <c r="M32" s="9" t="s">
        <v>141</v>
      </c>
    </row>
    <row r="33" spans="1:13" ht="12.3">
      <c r="A33" s="7">
        <v>32</v>
      </c>
      <c r="B33" s="33"/>
      <c r="C33" s="24"/>
      <c r="D33" s="22"/>
      <c r="E33" s="18"/>
      <c r="F33" s="18"/>
      <c r="G33" s="18"/>
      <c r="H33" s="18"/>
      <c r="I33" s="18"/>
      <c r="J33" s="18"/>
      <c r="K33" s="18"/>
      <c r="L33" s="18"/>
      <c r="M33" s="9"/>
    </row>
    <row r="34" spans="1:13" ht="12.3">
      <c r="A34" s="7">
        <v>33</v>
      </c>
      <c r="B34" s="33"/>
      <c r="C34" s="24"/>
      <c r="D34" s="24"/>
      <c r="E34" s="18"/>
      <c r="F34" s="18"/>
      <c r="G34" s="18"/>
      <c r="H34" s="18"/>
      <c r="I34" s="18"/>
      <c r="J34" s="18"/>
      <c r="K34" s="18"/>
      <c r="L34" s="18"/>
      <c r="M34" s="9"/>
    </row>
    <row r="35" spans="1:13" ht="12.3">
      <c r="A35" s="7">
        <v>34</v>
      </c>
      <c r="B35" s="33"/>
      <c r="C35" s="24"/>
      <c r="D35" s="24"/>
      <c r="E35" s="18"/>
      <c r="F35" s="18"/>
      <c r="G35" s="18"/>
      <c r="H35" s="18"/>
      <c r="I35" s="18"/>
      <c r="J35" s="18"/>
      <c r="K35" s="18"/>
      <c r="L35" s="18"/>
      <c r="M35" s="9"/>
    </row>
    <row r="36" spans="1:13" ht="12.3">
      <c r="A36" s="7">
        <v>35</v>
      </c>
      <c r="B36" s="33"/>
      <c r="C36" s="24"/>
      <c r="D36" s="24"/>
      <c r="E36" s="18"/>
      <c r="F36" s="18"/>
      <c r="G36" s="18"/>
      <c r="H36" s="18"/>
      <c r="I36" s="18"/>
      <c r="J36" s="18"/>
      <c r="K36" s="18"/>
      <c r="L36" s="18"/>
      <c r="M36" s="9"/>
    </row>
    <row r="37" spans="1:13" ht="12.3">
      <c r="A37" s="7">
        <v>36</v>
      </c>
      <c r="B37" s="34"/>
      <c r="C37" s="34"/>
      <c r="D37" s="34"/>
      <c r="H37" s="1">
        <f>SUM(H2:H36)</f>
        <v>1682.6000000000001</v>
      </c>
      <c r="M37" s="10"/>
    </row>
  </sheetData>
  <mergeCells count="1">
    <mergeCell ref="E8:E9"/>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sheetPr>
  <dimension ref="A1:M999"/>
  <sheetViews>
    <sheetView workbookViewId="0">
      <pane ySplit="1" topLeftCell="A2" activePane="bottomLeft" state="frozen"/>
      <selection pane="bottomLeft" activeCell="C4" sqref="C4"/>
    </sheetView>
  </sheetViews>
  <sheetFormatPr defaultColWidth="12.609375" defaultRowHeight="15" customHeight="1"/>
  <cols>
    <col min="1" max="1" width="2.88671875" customWidth="1"/>
    <col min="4" max="4" width="18.88671875" customWidth="1"/>
    <col min="13" max="13" width="22.71875" customWidth="1"/>
  </cols>
  <sheetData>
    <row r="1" spans="1:13" ht="29.7" customHeight="1">
      <c r="A1" s="41"/>
      <c r="B1" s="42" t="s">
        <v>181</v>
      </c>
      <c r="C1" s="43" t="s">
        <v>37</v>
      </c>
      <c r="D1" s="43" t="s">
        <v>36</v>
      </c>
      <c r="E1" s="13" t="s">
        <v>175</v>
      </c>
      <c r="F1" s="8" t="s">
        <v>176</v>
      </c>
      <c r="G1" s="13" t="s">
        <v>177</v>
      </c>
      <c r="H1" s="13" t="s">
        <v>178</v>
      </c>
      <c r="I1" s="13" t="s">
        <v>38</v>
      </c>
      <c r="J1" s="13" t="s">
        <v>32</v>
      </c>
      <c r="K1" s="13" t="s">
        <v>33</v>
      </c>
      <c r="L1" s="13" t="s">
        <v>34</v>
      </c>
      <c r="M1" s="44" t="s">
        <v>35</v>
      </c>
    </row>
    <row r="2" spans="1:13" ht="15" customHeight="1">
      <c r="A2" s="7">
        <v>1</v>
      </c>
      <c r="B2" s="33">
        <v>46000</v>
      </c>
      <c r="C2" s="21">
        <v>0.34722222222222221</v>
      </c>
      <c r="D2" s="22" t="s">
        <v>18</v>
      </c>
      <c r="E2" s="18"/>
      <c r="F2" s="24"/>
      <c r="G2" s="18"/>
      <c r="H2" s="18">
        <v>24</v>
      </c>
      <c r="I2" s="18">
        <v>27</v>
      </c>
      <c r="J2" s="18">
        <v>120</v>
      </c>
      <c r="K2" s="18"/>
      <c r="L2" s="18">
        <v>32</v>
      </c>
      <c r="M2" s="45" t="s">
        <v>39</v>
      </c>
    </row>
    <row r="3" spans="1:13" ht="15" customHeight="1">
      <c r="A3" s="20">
        <v>2</v>
      </c>
      <c r="B3" s="33">
        <v>46000</v>
      </c>
      <c r="C3" s="21">
        <v>0.35416666666666669</v>
      </c>
      <c r="D3" s="22" t="s">
        <v>20</v>
      </c>
      <c r="E3" s="23"/>
      <c r="F3" s="24"/>
      <c r="G3" s="24"/>
      <c r="H3" s="24">
        <v>168</v>
      </c>
      <c r="I3" s="24">
        <v>130</v>
      </c>
      <c r="J3" s="24">
        <v>150</v>
      </c>
      <c r="K3" s="24">
        <v>50</v>
      </c>
      <c r="L3" s="24">
        <v>36</v>
      </c>
      <c r="M3" s="46" t="s">
        <v>39</v>
      </c>
    </row>
    <row r="4" spans="1:13" ht="15" customHeight="1">
      <c r="A4" s="20">
        <v>3</v>
      </c>
      <c r="B4" s="33">
        <v>46000</v>
      </c>
      <c r="C4" s="21">
        <v>0.3611111111111111</v>
      </c>
      <c r="D4" s="22" t="s">
        <v>2</v>
      </c>
      <c r="E4" s="24"/>
      <c r="F4" s="24"/>
      <c r="G4" s="24"/>
      <c r="H4" s="24">
        <v>69</v>
      </c>
      <c r="I4" s="24">
        <v>111</v>
      </c>
      <c r="J4" s="24">
        <v>150</v>
      </c>
      <c r="K4" s="24">
        <v>50</v>
      </c>
      <c r="L4" s="24">
        <v>44</v>
      </c>
      <c r="M4" s="46" t="s">
        <v>39</v>
      </c>
    </row>
    <row r="5" spans="1:13" ht="15" customHeight="1">
      <c r="A5" s="7">
        <v>4</v>
      </c>
      <c r="B5" s="33">
        <v>46000</v>
      </c>
      <c r="C5" s="21">
        <v>0.36458333333333331</v>
      </c>
      <c r="D5" s="22" t="s">
        <v>3</v>
      </c>
      <c r="E5" s="18"/>
      <c r="F5" s="18"/>
      <c r="G5" s="18"/>
      <c r="H5" s="18">
        <v>72</v>
      </c>
      <c r="I5" s="18">
        <v>124</v>
      </c>
      <c r="J5" s="18">
        <v>150</v>
      </c>
      <c r="K5" s="18">
        <v>30</v>
      </c>
      <c r="L5" s="18">
        <v>42</v>
      </c>
      <c r="M5" s="9" t="s">
        <v>39</v>
      </c>
    </row>
    <row r="6" spans="1:13" ht="15" customHeight="1">
      <c r="A6" s="7">
        <v>5</v>
      </c>
      <c r="B6" s="33">
        <v>46000</v>
      </c>
      <c r="C6" s="21">
        <v>0.36805555555555558</v>
      </c>
      <c r="D6" s="22" t="s">
        <v>9</v>
      </c>
      <c r="E6" s="18"/>
      <c r="F6" s="18"/>
      <c r="G6" s="18"/>
      <c r="H6" s="18">
        <v>255</v>
      </c>
      <c r="I6" s="18">
        <v>247</v>
      </c>
      <c r="J6" s="18">
        <v>150</v>
      </c>
      <c r="K6" s="18">
        <v>30</v>
      </c>
      <c r="L6" s="18">
        <v>32</v>
      </c>
      <c r="M6" s="45" t="s">
        <v>39</v>
      </c>
    </row>
    <row r="7" spans="1:13" ht="15" customHeight="1">
      <c r="A7" s="7">
        <v>6</v>
      </c>
      <c r="B7" s="33">
        <v>46000</v>
      </c>
      <c r="C7" s="21">
        <v>0.37152777777777779</v>
      </c>
      <c r="D7" s="22" t="s">
        <v>4</v>
      </c>
      <c r="E7" s="18"/>
      <c r="F7" s="18"/>
      <c r="G7" s="18"/>
      <c r="H7" s="18">
        <v>176</v>
      </c>
      <c r="I7" s="18">
        <v>0</v>
      </c>
      <c r="J7" s="18">
        <v>60</v>
      </c>
      <c r="K7" s="18">
        <v>80</v>
      </c>
      <c r="L7" s="18">
        <v>36</v>
      </c>
      <c r="M7" s="45" t="s">
        <v>169</v>
      </c>
    </row>
    <row r="8" spans="1:13" ht="15" customHeight="1">
      <c r="A8" s="7">
        <v>7</v>
      </c>
      <c r="B8" s="33">
        <v>46000</v>
      </c>
      <c r="C8" s="21">
        <v>0.3888888888888889</v>
      </c>
      <c r="D8" s="22" t="s">
        <v>15</v>
      </c>
      <c r="E8" s="49"/>
      <c r="F8" s="18"/>
      <c r="G8" s="18"/>
      <c r="H8" s="18">
        <v>56</v>
      </c>
      <c r="I8" s="18">
        <v>42</v>
      </c>
      <c r="J8" s="18">
        <v>100</v>
      </c>
      <c r="K8" s="18">
        <v>50</v>
      </c>
      <c r="L8" s="18">
        <v>31</v>
      </c>
      <c r="M8" s="45" t="s">
        <v>39</v>
      </c>
    </row>
    <row r="9" spans="1:13" ht="15" customHeight="1">
      <c r="A9" s="7">
        <v>8</v>
      </c>
      <c r="B9" s="33"/>
      <c r="C9" s="21"/>
      <c r="D9" s="22" t="s">
        <v>16</v>
      </c>
      <c r="E9" s="50"/>
      <c r="F9" s="18"/>
      <c r="G9" s="18"/>
      <c r="H9" s="18"/>
      <c r="I9" s="18"/>
      <c r="J9" s="18"/>
      <c r="K9" s="18"/>
      <c r="L9" s="18"/>
      <c r="M9" s="45" t="s">
        <v>142</v>
      </c>
    </row>
    <row r="10" spans="1:13" ht="15" customHeight="1">
      <c r="A10" s="20">
        <v>9</v>
      </c>
      <c r="B10" s="33">
        <v>46000</v>
      </c>
      <c r="C10" s="21">
        <v>0.33680555555555558</v>
      </c>
      <c r="D10" s="22" t="s">
        <v>5</v>
      </c>
      <c r="E10" s="23"/>
      <c r="F10" s="24"/>
      <c r="G10" s="24"/>
      <c r="H10" s="24">
        <v>0</v>
      </c>
      <c r="I10" s="24">
        <v>0</v>
      </c>
      <c r="J10" s="24">
        <v>15</v>
      </c>
      <c r="K10" s="24">
        <v>50</v>
      </c>
      <c r="L10" s="24">
        <v>32</v>
      </c>
      <c r="M10" s="45" t="s">
        <v>39</v>
      </c>
    </row>
    <row r="11" spans="1:13" ht="15" customHeight="1">
      <c r="A11" s="7">
        <v>10</v>
      </c>
      <c r="B11" s="33">
        <v>46000</v>
      </c>
      <c r="C11" s="21">
        <v>0.33680555555555558</v>
      </c>
      <c r="D11" s="22" t="s">
        <v>6</v>
      </c>
      <c r="E11" s="18"/>
      <c r="F11" s="18"/>
      <c r="G11" s="18"/>
      <c r="H11" s="18">
        <v>63</v>
      </c>
      <c r="I11" s="18">
        <v>0</v>
      </c>
      <c r="J11" s="18"/>
      <c r="K11" s="18"/>
      <c r="L11" s="18">
        <v>32</v>
      </c>
      <c r="M11" s="9" t="s">
        <v>170</v>
      </c>
    </row>
    <row r="12" spans="1:13" ht="15" customHeight="1">
      <c r="A12" s="7">
        <v>11</v>
      </c>
      <c r="B12" s="33">
        <v>46000</v>
      </c>
      <c r="C12" s="21"/>
      <c r="D12" s="22" t="e">
        <f>#REF!</f>
        <v>#REF!</v>
      </c>
      <c r="E12" s="18"/>
      <c r="F12" s="18"/>
      <c r="G12" s="18"/>
      <c r="H12" s="18">
        <v>1</v>
      </c>
      <c r="I12" s="18"/>
      <c r="J12" s="18">
        <v>100</v>
      </c>
      <c r="K12" s="18">
        <v>50</v>
      </c>
      <c r="L12" s="18"/>
      <c r="M12" s="18" t="s">
        <v>39</v>
      </c>
    </row>
    <row r="13" spans="1:13" ht="15" customHeight="1">
      <c r="A13" s="20">
        <v>12</v>
      </c>
      <c r="B13" s="33">
        <v>46000</v>
      </c>
      <c r="C13" s="21">
        <v>0.3263888888888889</v>
      </c>
      <c r="D13" s="22" t="s">
        <v>19</v>
      </c>
      <c r="E13" s="24"/>
      <c r="F13" s="24"/>
      <c r="G13" s="24"/>
      <c r="H13" s="24">
        <v>36</v>
      </c>
      <c r="I13" s="24">
        <v>127</v>
      </c>
      <c r="J13" s="24">
        <v>150</v>
      </c>
      <c r="K13" s="24">
        <v>30</v>
      </c>
      <c r="L13" s="24">
        <v>32</v>
      </c>
      <c r="M13" s="45" t="s">
        <v>39</v>
      </c>
    </row>
    <row r="14" spans="1:13" ht="15" customHeight="1">
      <c r="A14" s="7">
        <v>13</v>
      </c>
      <c r="B14" s="33">
        <v>46000</v>
      </c>
      <c r="C14" s="21">
        <v>0.35</v>
      </c>
      <c r="D14" s="22" t="s">
        <v>26</v>
      </c>
      <c r="E14" s="18"/>
      <c r="F14" s="18"/>
      <c r="G14" s="18"/>
      <c r="H14" s="18"/>
      <c r="I14" s="18"/>
      <c r="J14" s="18"/>
      <c r="K14" s="18"/>
      <c r="L14" s="18"/>
      <c r="M14" s="9">
        <v>5649885.5999999996</v>
      </c>
    </row>
    <row r="15" spans="1:13" ht="15" customHeight="1">
      <c r="A15" s="7">
        <v>14</v>
      </c>
      <c r="B15" s="33">
        <v>46000</v>
      </c>
      <c r="C15" s="21">
        <v>0.35347222222222224</v>
      </c>
      <c r="D15" s="22" t="s">
        <v>13</v>
      </c>
      <c r="E15" s="18"/>
      <c r="F15" s="18"/>
      <c r="G15" s="18"/>
      <c r="H15" s="18">
        <v>33.1</v>
      </c>
      <c r="I15" s="18">
        <v>0</v>
      </c>
      <c r="J15" s="18">
        <v>70.400000000000006</v>
      </c>
      <c r="K15" s="18">
        <v>3.9</v>
      </c>
      <c r="L15" s="18">
        <v>69.599999999999994</v>
      </c>
      <c r="M15" s="45" t="s">
        <v>39</v>
      </c>
    </row>
    <row r="16" spans="1:13" ht="15" customHeight="1">
      <c r="A16" s="7">
        <v>15</v>
      </c>
      <c r="B16" s="33">
        <v>46000</v>
      </c>
      <c r="C16" s="21">
        <v>0.36666666666666664</v>
      </c>
      <c r="D16" s="22" t="s">
        <v>17</v>
      </c>
      <c r="E16" s="18"/>
      <c r="F16" s="18"/>
      <c r="G16" s="18"/>
      <c r="H16" s="18">
        <v>53.2</v>
      </c>
      <c r="I16" s="18">
        <v>50.1</v>
      </c>
      <c r="J16" s="18">
        <v>120.1</v>
      </c>
      <c r="K16" s="18">
        <v>55.6</v>
      </c>
      <c r="L16" s="18">
        <v>62.2</v>
      </c>
      <c r="M16" s="45" t="s">
        <v>171</v>
      </c>
    </row>
    <row r="17" spans="1:13" ht="15" customHeight="1">
      <c r="A17" s="7">
        <v>16</v>
      </c>
      <c r="B17" s="33">
        <v>46000</v>
      </c>
      <c r="C17" s="21">
        <v>0.38750000000000001</v>
      </c>
      <c r="D17" s="22" t="s">
        <v>12</v>
      </c>
      <c r="E17" s="18"/>
      <c r="F17" s="18"/>
      <c r="G17" s="18"/>
      <c r="H17" s="18">
        <v>67</v>
      </c>
      <c r="I17" s="18">
        <v>181</v>
      </c>
      <c r="J17" s="18">
        <v>79.099999999999994</v>
      </c>
      <c r="K17" s="18">
        <v>5</v>
      </c>
      <c r="L17" s="18">
        <v>58.3</v>
      </c>
      <c r="M17" s="9" t="s">
        <v>39</v>
      </c>
    </row>
    <row r="18" spans="1:13" ht="15" customHeight="1">
      <c r="A18" s="7">
        <v>17</v>
      </c>
      <c r="B18" s="33">
        <v>46000</v>
      </c>
      <c r="C18" s="21">
        <v>0.39444444444444443</v>
      </c>
      <c r="D18" s="22" t="s">
        <v>11</v>
      </c>
      <c r="E18" s="18"/>
      <c r="F18" s="18"/>
      <c r="G18" s="18"/>
      <c r="H18" s="18">
        <v>111</v>
      </c>
      <c r="I18" s="18">
        <v>13</v>
      </c>
      <c r="J18" s="18">
        <v>43.5</v>
      </c>
      <c r="K18" s="18">
        <v>50</v>
      </c>
      <c r="L18" s="18">
        <v>55.2</v>
      </c>
      <c r="M18" s="9" t="s">
        <v>39</v>
      </c>
    </row>
    <row r="19" spans="1:13" ht="15" customHeight="1">
      <c r="A19" s="7">
        <v>18</v>
      </c>
      <c r="B19" s="33">
        <v>46000</v>
      </c>
      <c r="C19" s="21">
        <v>0.40347222222222223</v>
      </c>
      <c r="D19" s="22" t="s">
        <v>23</v>
      </c>
      <c r="E19" s="18"/>
      <c r="F19" s="18"/>
      <c r="G19" s="18"/>
      <c r="H19" s="18">
        <v>45.6</v>
      </c>
      <c r="I19" s="18">
        <v>59.2</v>
      </c>
      <c r="J19" s="18">
        <v>55</v>
      </c>
      <c r="K19" s="18">
        <v>5</v>
      </c>
      <c r="L19" s="18">
        <v>55.5</v>
      </c>
      <c r="M19" s="9" t="s">
        <v>39</v>
      </c>
    </row>
    <row r="20" spans="1:13" ht="15" customHeight="1">
      <c r="A20" s="7">
        <v>19</v>
      </c>
      <c r="B20" s="33">
        <v>46000</v>
      </c>
      <c r="C20" s="21">
        <v>0.41666666666666669</v>
      </c>
      <c r="D20" s="22" t="s">
        <v>24</v>
      </c>
      <c r="E20" s="18"/>
      <c r="F20" s="18"/>
      <c r="G20" s="18"/>
      <c r="H20" s="18">
        <v>33.4</v>
      </c>
      <c r="I20" s="18"/>
      <c r="J20" s="18">
        <v>109</v>
      </c>
      <c r="K20" s="18">
        <v>50</v>
      </c>
      <c r="L20" s="18">
        <v>55.4</v>
      </c>
      <c r="M20" s="45" t="s">
        <v>172</v>
      </c>
    </row>
    <row r="21" spans="1:13" ht="15" customHeight="1">
      <c r="A21" s="7">
        <v>20</v>
      </c>
      <c r="B21" s="33">
        <v>46000</v>
      </c>
      <c r="C21" s="21">
        <v>0.4236111111111111</v>
      </c>
      <c r="D21" s="22" t="s">
        <v>10</v>
      </c>
      <c r="E21" s="18"/>
      <c r="F21" s="18"/>
      <c r="G21" s="18"/>
      <c r="H21" s="18">
        <v>101</v>
      </c>
      <c r="I21" s="18">
        <v>0</v>
      </c>
      <c r="J21" s="18">
        <v>42.9</v>
      </c>
      <c r="K21" s="18">
        <v>42.6</v>
      </c>
      <c r="L21" s="18">
        <v>55.4</v>
      </c>
      <c r="M21" s="45" t="s">
        <v>173</v>
      </c>
    </row>
    <row r="22" spans="1:13" ht="15" customHeight="1">
      <c r="A22" s="7">
        <v>21</v>
      </c>
      <c r="B22" s="33">
        <v>46000</v>
      </c>
      <c r="C22" s="21">
        <v>0.43055555555555558</v>
      </c>
      <c r="D22" s="22" t="s">
        <v>7</v>
      </c>
      <c r="E22" s="18"/>
      <c r="F22" s="18"/>
      <c r="G22" s="18"/>
      <c r="H22" s="18">
        <v>67.2</v>
      </c>
      <c r="I22" s="18">
        <v>43.2</v>
      </c>
      <c r="J22" s="18"/>
      <c r="K22" s="18"/>
      <c r="L22" s="18">
        <v>70</v>
      </c>
      <c r="M22" s="45" t="s">
        <v>39</v>
      </c>
    </row>
    <row r="23" spans="1:13" ht="15" customHeight="1">
      <c r="A23" s="7">
        <v>22</v>
      </c>
      <c r="B23" s="33">
        <v>46000</v>
      </c>
      <c r="C23" s="21">
        <v>0.43402777777777779</v>
      </c>
      <c r="D23" s="22" t="s">
        <v>8</v>
      </c>
      <c r="E23" s="18"/>
      <c r="F23" s="18"/>
      <c r="G23" s="18"/>
      <c r="H23" s="18">
        <v>97</v>
      </c>
      <c r="I23" s="18">
        <v>127</v>
      </c>
      <c r="J23" s="18">
        <v>90.1</v>
      </c>
      <c r="K23" s="18">
        <v>59.5</v>
      </c>
      <c r="L23" s="18">
        <v>84.7</v>
      </c>
      <c r="M23" s="45" t="s">
        <v>174</v>
      </c>
    </row>
    <row r="24" spans="1:13" ht="15" customHeight="1">
      <c r="A24" s="20">
        <v>23</v>
      </c>
      <c r="B24" s="33">
        <v>46000</v>
      </c>
      <c r="C24" s="21">
        <v>0.47916666666666669</v>
      </c>
      <c r="D24" s="22" t="s">
        <v>21</v>
      </c>
      <c r="E24" s="23"/>
      <c r="F24" s="24"/>
      <c r="G24" s="24"/>
      <c r="H24" s="24">
        <v>69.45</v>
      </c>
      <c r="I24" s="24">
        <v>47.07</v>
      </c>
      <c r="J24" s="24"/>
      <c r="K24" s="24"/>
      <c r="L24" s="24"/>
      <c r="M24" s="46"/>
    </row>
    <row r="25" spans="1:13" ht="15" customHeight="1">
      <c r="A25" s="20">
        <v>24</v>
      </c>
      <c r="B25" s="33"/>
      <c r="C25" s="21"/>
      <c r="D25" s="22" t="s">
        <v>22</v>
      </c>
      <c r="E25" s="23"/>
      <c r="F25" s="24"/>
      <c r="G25" s="24"/>
      <c r="H25" s="24"/>
      <c r="I25" s="24"/>
      <c r="J25" s="24"/>
      <c r="K25" s="24"/>
      <c r="L25" s="24"/>
      <c r="M25" s="46"/>
    </row>
    <row r="26" spans="1:13" ht="15" customHeight="1">
      <c r="A26" s="7">
        <v>25</v>
      </c>
      <c r="B26" s="33"/>
      <c r="C26" s="21"/>
      <c r="D26" s="22" t="s">
        <v>25</v>
      </c>
      <c r="E26" s="5"/>
      <c r="F26" s="18"/>
      <c r="G26" s="18"/>
      <c r="H26" s="18"/>
      <c r="I26" s="18"/>
      <c r="J26" s="18"/>
      <c r="K26" s="18"/>
      <c r="L26" s="18"/>
      <c r="M26" s="45"/>
    </row>
    <row r="27" spans="1:13" ht="15" customHeight="1">
      <c r="A27" s="7">
        <v>26</v>
      </c>
      <c r="B27" s="33"/>
      <c r="C27" s="47"/>
      <c r="D27" s="22" t="s">
        <v>27</v>
      </c>
      <c r="E27" s="18"/>
      <c r="F27" s="18"/>
      <c r="G27" s="18"/>
      <c r="H27" s="36"/>
      <c r="I27" s="36"/>
      <c r="J27" s="36"/>
      <c r="K27" s="36"/>
      <c r="L27" s="36"/>
      <c r="M27" s="45"/>
    </row>
    <row r="28" spans="1:13" ht="15" customHeight="1">
      <c r="A28" s="7">
        <v>27</v>
      </c>
      <c r="B28" s="33">
        <v>46000</v>
      </c>
      <c r="C28" s="21">
        <v>0.4375</v>
      </c>
      <c r="D28" s="18" t="s">
        <v>179</v>
      </c>
      <c r="E28" s="18"/>
      <c r="F28" s="18"/>
      <c r="G28" s="18"/>
      <c r="H28" s="18"/>
      <c r="I28" s="18"/>
      <c r="J28" s="18"/>
      <c r="K28" s="18"/>
      <c r="L28" s="18">
        <v>13.46</v>
      </c>
      <c r="M28" s="45" t="s">
        <v>168</v>
      </c>
    </row>
    <row r="29" spans="1:13" ht="61.5">
      <c r="A29" s="7">
        <v>28</v>
      </c>
      <c r="B29" s="33">
        <v>46000</v>
      </c>
      <c r="C29" s="21">
        <v>0.39583333333333331</v>
      </c>
      <c r="D29" s="22" t="s">
        <v>77</v>
      </c>
      <c r="E29" s="18"/>
      <c r="F29" s="18"/>
      <c r="G29" s="18"/>
      <c r="H29" s="18"/>
      <c r="I29" s="18"/>
      <c r="J29" s="18"/>
      <c r="K29" s="18"/>
      <c r="L29" s="18"/>
      <c r="M29" s="45" t="s">
        <v>139</v>
      </c>
    </row>
    <row r="30" spans="1:13" ht="61.5">
      <c r="A30" s="7">
        <v>29</v>
      </c>
      <c r="B30" s="33"/>
      <c r="C30" s="24"/>
      <c r="D30" s="22" t="s">
        <v>140</v>
      </c>
      <c r="E30" s="18"/>
      <c r="F30" s="18"/>
      <c r="G30" s="18"/>
      <c r="H30" s="18"/>
      <c r="I30" s="18"/>
      <c r="J30" s="18"/>
      <c r="K30" s="18"/>
      <c r="L30" s="18"/>
      <c r="M30" s="45" t="s">
        <v>105</v>
      </c>
    </row>
    <row r="31" spans="1:13" ht="24.6">
      <c r="A31" s="7">
        <v>30</v>
      </c>
      <c r="B31" s="33"/>
      <c r="C31" s="24"/>
      <c r="D31" s="22" t="s">
        <v>28</v>
      </c>
      <c r="E31" s="18"/>
      <c r="F31" s="18"/>
      <c r="G31" s="18"/>
      <c r="H31" s="18"/>
      <c r="I31" s="18"/>
      <c r="J31" s="18"/>
      <c r="K31" s="18"/>
      <c r="L31" s="18"/>
      <c r="M31" s="45" t="s">
        <v>133</v>
      </c>
    </row>
    <row r="32" spans="1:13" ht="12.3">
      <c r="A32" s="7">
        <v>31</v>
      </c>
      <c r="B32" s="33"/>
      <c r="C32" s="24"/>
      <c r="D32" s="22" t="s">
        <v>14</v>
      </c>
      <c r="E32" s="18"/>
      <c r="F32" s="18"/>
      <c r="G32" s="18"/>
      <c r="H32" s="18"/>
      <c r="I32" s="18"/>
      <c r="J32" s="18"/>
      <c r="K32" s="18"/>
      <c r="L32" s="18"/>
      <c r="M32" s="9" t="s">
        <v>141</v>
      </c>
    </row>
    <row r="33" spans="1:13" ht="12.3">
      <c r="A33" s="7">
        <v>32</v>
      </c>
      <c r="B33" s="33"/>
      <c r="C33" s="24"/>
      <c r="D33" s="22"/>
      <c r="E33" s="18"/>
      <c r="F33" s="18"/>
      <c r="G33" s="18"/>
      <c r="H33" s="18"/>
      <c r="I33" s="18"/>
      <c r="J33" s="18"/>
      <c r="K33" s="18"/>
      <c r="L33" s="18"/>
      <c r="M33" s="9"/>
    </row>
    <row r="34" spans="1:13" ht="12.3">
      <c r="A34" s="7">
        <v>33</v>
      </c>
      <c r="B34" s="33"/>
      <c r="C34" s="24"/>
      <c r="D34" s="24"/>
      <c r="E34" s="18"/>
      <c r="F34" s="18"/>
      <c r="G34" s="18"/>
      <c r="H34" s="18"/>
      <c r="I34" s="18"/>
      <c r="J34" s="18"/>
      <c r="K34" s="18"/>
      <c r="L34" s="18"/>
      <c r="M34" s="9"/>
    </row>
    <row r="35" spans="1:13" ht="12.3">
      <c r="A35" s="7">
        <v>34</v>
      </c>
      <c r="B35" s="33"/>
      <c r="C35" s="24"/>
      <c r="D35" s="24"/>
      <c r="E35" s="18"/>
      <c r="F35" s="18"/>
      <c r="G35" s="18"/>
      <c r="H35" s="18"/>
      <c r="I35" s="18"/>
      <c r="J35" s="18"/>
      <c r="K35" s="18"/>
      <c r="L35" s="18"/>
      <c r="M35" s="9"/>
    </row>
    <row r="36" spans="1:13" ht="12.3">
      <c r="A36" s="7">
        <v>35</v>
      </c>
      <c r="B36" s="33"/>
      <c r="C36" s="24"/>
      <c r="D36" s="24"/>
      <c r="E36" s="18"/>
      <c r="F36" s="18"/>
      <c r="G36" s="18"/>
      <c r="H36" s="18"/>
      <c r="I36" s="18"/>
      <c r="J36" s="18"/>
      <c r="K36" s="18"/>
      <c r="L36" s="18"/>
      <c r="M36" s="9"/>
    </row>
    <row r="37" spans="1:13" ht="12.3">
      <c r="A37" s="7">
        <v>36</v>
      </c>
      <c r="B37" s="48"/>
      <c r="C37" s="34"/>
      <c r="D37" s="34"/>
      <c r="H37" s="1">
        <f>SUM(H2:H36)</f>
        <v>1597.9500000000003</v>
      </c>
      <c r="M37" s="10"/>
    </row>
    <row r="38" spans="1:13" ht="12.3">
      <c r="B38" s="3"/>
    </row>
    <row r="39" spans="1:13" ht="12.3">
      <c r="B39" s="3"/>
    </row>
    <row r="40" spans="1:13" ht="12.3">
      <c r="B40" s="3"/>
    </row>
    <row r="41" spans="1:13" ht="12.3">
      <c r="B41" s="3"/>
    </row>
    <row r="42" spans="1:13" ht="12.3">
      <c r="B42" s="3"/>
    </row>
    <row r="43" spans="1:13" ht="12.3">
      <c r="B43" s="3"/>
    </row>
    <row r="44" spans="1:13" ht="12.3">
      <c r="B44" s="3"/>
    </row>
    <row r="45" spans="1:13" ht="12.3">
      <c r="B45" s="3"/>
    </row>
    <row r="46" spans="1:13" ht="12.3">
      <c r="B46" s="3"/>
    </row>
    <row r="47" spans="1:13" ht="12.3">
      <c r="B47" s="3"/>
    </row>
    <row r="48" spans="1:13" ht="12.3">
      <c r="B48" s="3"/>
    </row>
    <row r="49" spans="2:2" ht="12.3">
      <c r="B49" s="3"/>
    </row>
    <row r="50" spans="2:2" ht="12.3">
      <c r="B50" s="3"/>
    </row>
    <row r="51" spans="2:2" ht="12.3">
      <c r="B51" s="3"/>
    </row>
    <row r="52" spans="2:2" ht="12.3">
      <c r="B52" s="3"/>
    </row>
    <row r="53" spans="2:2" ht="12.3">
      <c r="B53" s="3"/>
    </row>
    <row r="54" spans="2:2" ht="12.3">
      <c r="B54" s="3"/>
    </row>
    <row r="55" spans="2:2" ht="12.3">
      <c r="B55" s="3"/>
    </row>
    <row r="56" spans="2:2" ht="12.3">
      <c r="B56" s="3"/>
    </row>
    <row r="57" spans="2:2" ht="12.3">
      <c r="B57" s="3"/>
    </row>
    <row r="58" spans="2:2" ht="12.3">
      <c r="B58" s="3"/>
    </row>
    <row r="59" spans="2:2" ht="12.3">
      <c r="B59" s="3"/>
    </row>
    <row r="60" spans="2:2" ht="12.3">
      <c r="B60" s="3"/>
    </row>
    <row r="61" spans="2:2" ht="12.3">
      <c r="B61" s="3"/>
    </row>
    <row r="62" spans="2:2" ht="12.3">
      <c r="B62" s="3"/>
    </row>
    <row r="63" spans="2:2" ht="12.3">
      <c r="B63" s="3"/>
    </row>
    <row r="64" spans="2:2" ht="12.3">
      <c r="B64" s="3"/>
    </row>
    <row r="65" spans="2:2" ht="12.3">
      <c r="B65" s="3"/>
    </row>
    <row r="66" spans="2:2" ht="12.3">
      <c r="B66" s="3"/>
    </row>
    <row r="67" spans="2:2" ht="12.3">
      <c r="B67" s="3"/>
    </row>
    <row r="68" spans="2:2" ht="12.3">
      <c r="B68" s="3"/>
    </row>
    <row r="69" spans="2:2" ht="12.3">
      <c r="B69" s="3"/>
    </row>
    <row r="70" spans="2:2" ht="12.3">
      <c r="B70" s="3"/>
    </row>
    <row r="71" spans="2:2" ht="12.3">
      <c r="B71" s="3"/>
    </row>
    <row r="72" spans="2:2" ht="12.3">
      <c r="B72" s="3"/>
    </row>
    <row r="73" spans="2:2" ht="12.3">
      <c r="B73" s="3"/>
    </row>
    <row r="74" spans="2:2" ht="12.3">
      <c r="B74" s="3"/>
    </row>
    <row r="75" spans="2:2" ht="12.3">
      <c r="B75" s="3"/>
    </row>
    <row r="76" spans="2:2" ht="12.3">
      <c r="B76" s="3"/>
    </row>
    <row r="77" spans="2:2" ht="12.3">
      <c r="B77" s="3"/>
    </row>
    <row r="78" spans="2:2" ht="12.3">
      <c r="B78" s="3"/>
    </row>
    <row r="79" spans="2:2" ht="12.3">
      <c r="B79" s="3"/>
    </row>
    <row r="80" spans="2:2" ht="12.3">
      <c r="B80" s="3"/>
    </row>
    <row r="81" spans="2:2" ht="12.3">
      <c r="B81" s="3"/>
    </row>
    <row r="82" spans="2:2" ht="12.3">
      <c r="B82" s="3"/>
    </row>
    <row r="83" spans="2:2" ht="12.3">
      <c r="B83" s="3"/>
    </row>
    <row r="84" spans="2:2" ht="12.3">
      <c r="B84" s="3"/>
    </row>
    <row r="85" spans="2:2" ht="12.3">
      <c r="B85" s="3"/>
    </row>
    <row r="86" spans="2:2" ht="12.3">
      <c r="B86" s="3"/>
    </row>
    <row r="87" spans="2:2" ht="12.3">
      <c r="B87" s="3"/>
    </row>
    <row r="88" spans="2:2" ht="12.3">
      <c r="B88" s="3"/>
    </row>
    <row r="89" spans="2:2" ht="12.3">
      <c r="B89" s="3"/>
    </row>
    <row r="90" spans="2:2" ht="12.3">
      <c r="B90" s="3"/>
    </row>
    <row r="91" spans="2:2" ht="12.3">
      <c r="B91" s="3"/>
    </row>
    <row r="92" spans="2:2" ht="12.3">
      <c r="B92" s="3"/>
    </row>
    <row r="93" spans="2:2" ht="12.3">
      <c r="B93" s="3"/>
    </row>
    <row r="94" spans="2:2" ht="12.3">
      <c r="B94" s="3"/>
    </row>
    <row r="95" spans="2:2" ht="12.3">
      <c r="B95" s="3"/>
    </row>
    <row r="96" spans="2:2" ht="12.3">
      <c r="B96" s="3"/>
    </row>
    <row r="97" spans="2:2" ht="12.3">
      <c r="B97" s="3"/>
    </row>
    <row r="98" spans="2:2" ht="12.3">
      <c r="B98" s="3"/>
    </row>
    <row r="99" spans="2:2" ht="12.3">
      <c r="B99" s="3"/>
    </row>
    <row r="100" spans="2:2" ht="12.3">
      <c r="B100" s="3"/>
    </row>
    <row r="101" spans="2:2" ht="12.3">
      <c r="B101" s="3"/>
    </row>
    <row r="102" spans="2:2" ht="12.3">
      <c r="B102" s="3"/>
    </row>
    <row r="103" spans="2:2" ht="12.3">
      <c r="B103" s="3"/>
    </row>
    <row r="104" spans="2:2" ht="12.3">
      <c r="B104" s="3"/>
    </row>
    <row r="105" spans="2:2" ht="12.3">
      <c r="B105" s="3"/>
    </row>
    <row r="106" spans="2:2" ht="12.3">
      <c r="B106" s="3"/>
    </row>
    <row r="107" spans="2:2" ht="12.3">
      <c r="B107" s="3"/>
    </row>
    <row r="108" spans="2:2" ht="12.3">
      <c r="B108" s="3"/>
    </row>
    <row r="109" spans="2:2" ht="12.3">
      <c r="B109" s="3"/>
    </row>
    <row r="110" spans="2:2" ht="12.3">
      <c r="B110" s="3"/>
    </row>
    <row r="111" spans="2:2" ht="12.3">
      <c r="B111" s="3"/>
    </row>
    <row r="112" spans="2:2" ht="12.3">
      <c r="B112" s="3"/>
    </row>
    <row r="113" spans="2:2" ht="12.3">
      <c r="B113" s="3"/>
    </row>
    <row r="114" spans="2:2" ht="12.3">
      <c r="B114" s="3"/>
    </row>
    <row r="115" spans="2:2" ht="12.3">
      <c r="B115" s="3"/>
    </row>
    <row r="116" spans="2:2" ht="12.3">
      <c r="B116" s="3"/>
    </row>
    <row r="117" spans="2:2" ht="12.3">
      <c r="B117" s="3"/>
    </row>
    <row r="118" spans="2:2" ht="12.3">
      <c r="B118" s="3"/>
    </row>
    <row r="119" spans="2:2" ht="12.3">
      <c r="B119" s="3"/>
    </row>
    <row r="120" spans="2:2" ht="12.3">
      <c r="B120" s="3"/>
    </row>
    <row r="121" spans="2:2" ht="12.3">
      <c r="B121" s="3"/>
    </row>
    <row r="122" spans="2:2" ht="12.3">
      <c r="B122" s="3"/>
    </row>
    <row r="123" spans="2:2" ht="12.3">
      <c r="B123" s="3"/>
    </row>
    <row r="124" spans="2:2" ht="12.3">
      <c r="B124" s="3"/>
    </row>
    <row r="125" spans="2:2" ht="12.3">
      <c r="B125" s="3"/>
    </row>
    <row r="126" spans="2:2" ht="12.3">
      <c r="B126" s="3"/>
    </row>
    <row r="127" spans="2:2" ht="12.3">
      <c r="B127" s="3"/>
    </row>
    <row r="128" spans="2:2" ht="12.3">
      <c r="B128" s="3"/>
    </row>
    <row r="129" spans="2:2" ht="12.3">
      <c r="B129" s="3"/>
    </row>
    <row r="130" spans="2:2" ht="12.3">
      <c r="B130" s="3"/>
    </row>
    <row r="131" spans="2:2" ht="12.3">
      <c r="B131" s="3"/>
    </row>
    <row r="132" spans="2:2" ht="12.3">
      <c r="B132" s="3"/>
    </row>
    <row r="133" spans="2:2" ht="12.3">
      <c r="B133" s="3"/>
    </row>
    <row r="134" spans="2:2" ht="12.3">
      <c r="B134" s="3"/>
    </row>
    <row r="135" spans="2:2" ht="12.3">
      <c r="B135" s="3"/>
    </row>
    <row r="136" spans="2:2" ht="12.3">
      <c r="B136" s="3"/>
    </row>
    <row r="137" spans="2:2" ht="12.3">
      <c r="B137" s="3"/>
    </row>
    <row r="138" spans="2:2" ht="12.3">
      <c r="B138" s="3"/>
    </row>
    <row r="139" spans="2:2" ht="12.3">
      <c r="B139" s="3"/>
    </row>
    <row r="140" spans="2:2" ht="12.3">
      <c r="B140" s="3"/>
    </row>
    <row r="141" spans="2:2" ht="12.3">
      <c r="B141" s="3"/>
    </row>
    <row r="142" spans="2:2" ht="12.3">
      <c r="B142" s="3"/>
    </row>
    <row r="143" spans="2:2" ht="12.3">
      <c r="B143" s="3"/>
    </row>
    <row r="144" spans="2:2" ht="12.3">
      <c r="B144" s="3"/>
    </row>
    <row r="145" spans="2:2" ht="12.3">
      <c r="B145" s="3"/>
    </row>
    <row r="146" spans="2:2" ht="12.3">
      <c r="B146" s="3"/>
    </row>
    <row r="147" spans="2:2" ht="12.3">
      <c r="B147" s="3"/>
    </row>
    <row r="148" spans="2:2" ht="12.3">
      <c r="B148" s="3"/>
    </row>
    <row r="149" spans="2:2" ht="12.3">
      <c r="B149" s="3"/>
    </row>
    <row r="150" spans="2:2" ht="12.3">
      <c r="B150" s="3"/>
    </row>
    <row r="151" spans="2:2" ht="12.3">
      <c r="B151" s="3"/>
    </row>
    <row r="152" spans="2:2" ht="12.3">
      <c r="B152" s="3"/>
    </row>
    <row r="153" spans="2:2" ht="12.3">
      <c r="B153" s="3"/>
    </row>
    <row r="154" spans="2:2" ht="12.3">
      <c r="B154" s="3"/>
    </row>
    <row r="155" spans="2:2" ht="12.3">
      <c r="B155" s="3"/>
    </row>
    <row r="156" spans="2:2" ht="12.3">
      <c r="B156" s="3"/>
    </row>
    <row r="157" spans="2:2" ht="12.3">
      <c r="B157" s="3"/>
    </row>
    <row r="158" spans="2:2" ht="12.3">
      <c r="B158" s="3"/>
    </row>
    <row r="159" spans="2:2" ht="12.3">
      <c r="B159" s="3"/>
    </row>
    <row r="160" spans="2:2" ht="12.3">
      <c r="B160" s="3"/>
    </row>
    <row r="161" spans="2:2" ht="12.3">
      <c r="B161" s="3"/>
    </row>
    <row r="162" spans="2:2" ht="12.3">
      <c r="B162" s="3"/>
    </row>
    <row r="163" spans="2:2" ht="12.3">
      <c r="B163" s="3"/>
    </row>
    <row r="164" spans="2:2" ht="12.3">
      <c r="B164" s="3"/>
    </row>
    <row r="165" spans="2:2" ht="12.3">
      <c r="B165" s="3"/>
    </row>
    <row r="166" spans="2:2" ht="12.3">
      <c r="B166" s="3"/>
    </row>
    <row r="167" spans="2:2" ht="12.3">
      <c r="B167" s="3"/>
    </row>
    <row r="168" spans="2:2" ht="12.3">
      <c r="B168" s="3"/>
    </row>
    <row r="169" spans="2:2" ht="12.3">
      <c r="B169" s="3"/>
    </row>
    <row r="170" spans="2:2" ht="12.3">
      <c r="B170" s="3"/>
    </row>
    <row r="171" spans="2:2" ht="12.3">
      <c r="B171" s="3"/>
    </row>
    <row r="172" spans="2:2" ht="12.3">
      <c r="B172" s="3"/>
    </row>
    <row r="173" spans="2:2" ht="12.3">
      <c r="B173" s="3"/>
    </row>
    <row r="174" spans="2:2" ht="12.3">
      <c r="B174" s="3"/>
    </row>
    <row r="175" spans="2:2" ht="12.3">
      <c r="B175" s="3"/>
    </row>
    <row r="176" spans="2:2" ht="12.3">
      <c r="B176" s="3"/>
    </row>
    <row r="177" spans="2:2" ht="12.3">
      <c r="B177" s="3"/>
    </row>
    <row r="178" spans="2:2" ht="12.3">
      <c r="B178" s="3"/>
    </row>
    <row r="179" spans="2:2" ht="12.3">
      <c r="B179" s="3"/>
    </row>
    <row r="180" spans="2:2" ht="12.3">
      <c r="B180" s="3"/>
    </row>
    <row r="181" spans="2:2" ht="12.3">
      <c r="B181" s="3"/>
    </row>
    <row r="182" spans="2:2" ht="12.3">
      <c r="B182" s="3"/>
    </row>
    <row r="183" spans="2:2" ht="12.3">
      <c r="B183" s="3"/>
    </row>
    <row r="184" spans="2:2" ht="12.3">
      <c r="B184" s="3"/>
    </row>
    <row r="185" spans="2:2" ht="12.3">
      <c r="B185" s="3"/>
    </row>
    <row r="186" spans="2:2" ht="12.3">
      <c r="B186" s="3"/>
    </row>
    <row r="187" spans="2:2" ht="12.3">
      <c r="B187" s="3"/>
    </row>
    <row r="188" spans="2:2" ht="12.3">
      <c r="B188" s="3"/>
    </row>
    <row r="189" spans="2:2" ht="12.3">
      <c r="B189" s="3"/>
    </row>
    <row r="190" spans="2:2" ht="12.3">
      <c r="B190" s="3"/>
    </row>
    <row r="191" spans="2:2" ht="12.3">
      <c r="B191" s="3"/>
    </row>
    <row r="192" spans="2:2" ht="12.3">
      <c r="B192" s="3"/>
    </row>
    <row r="193" spans="2:2" ht="12.3">
      <c r="B193" s="3"/>
    </row>
    <row r="194" spans="2:2" ht="12.3">
      <c r="B194" s="3"/>
    </row>
    <row r="195" spans="2:2" ht="12.3">
      <c r="B195" s="3"/>
    </row>
    <row r="196" spans="2:2" ht="12.3">
      <c r="B196" s="3"/>
    </row>
    <row r="197" spans="2:2" ht="12.3">
      <c r="B197" s="3"/>
    </row>
    <row r="198" spans="2:2" ht="12.3">
      <c r="B198" s="3"/>
    </row>
    <row r="199" spans="2:2" ht="12.3">
      <c r="B199" s="3"/>
    </row>
    <row r="200" spans="2:2" ht="12.3">
      <c r="B200" s="3"/>
    </row>
    <row r="201" spans="2:2" ht="12.3">
      <c r="B201" s="3"/>
    </row>
    <row r="202" spans="2:2" ht="12.3">
      <c r="B202" s="3"/>
    </row>
    <row r="203" spans="2:2" ht="12.3">
      <c r="B203" s="3"/>
    </row>
    <row r="204" spans="2:2" ht="12.3">
      <c r="B204" s="3"/>
    </row>
    <row r="205" spans="2:2" ht="12.3">
      <c r="B205" s="3"/>
    </row>
    <row r="206" spans="2:2" ht="12.3">
      <c r="B206" s="3"/>
    </row>
    <row r="207" spans="2:2" ht="12.3">
      <c r="B207" s="3"/>
    </row>
    <row r="208" spans="2:2" ht="12.3">
      <c r="B208" s="3"/>
    </row>
    <row r="209" spans="2:2" ht="12.3">
      <c r="B209" s="3"/>
    </row>
    <row r="210" spans="2:2" ht="12.3">
      <c r="B210" s="3"/>
    </row>
    <row r="211" spans="2:2" ht="12.3">
      <c r="B211" s="3"/>
    </row>
    <row r="212" spans="2:2" ht="12.3">
      <c r="B212" s="3"/>
    </row>
    <row r="213" spans="2:2" ht="12.3">
      <c r="B213" s="3"/>
    </row>
    <row r="214" spans="2:2" ht="12.3">
      <c r="B214" s="3"/>
    </row>
    <row r="215" spans="2:2" ht="12.3">
      <c r="B215" s="3"/>
    </row>
    <row r="216" spans="2:2" ht="12.3">
      <c r="B216" s="3"/>
    </row>
    <row r="217" spans="2:2" ht="12.3">
      <c r="B217" s="3"/>
    </row>
    <row r="218" spans="2:2" ht="12.3">
      <c r="B218" s="3"/>
    </row>
    <row r="219" spans="2:2" ht="12.3">
      <c r="B219" s="3"/>
    </row>
    <row r="220" spans="2:2" ht="12.3">
      <c r="B220" s="3"/>
    </row>
    <row r="221" spans="2:2" ht="12.3">
      <c r="B221" s="3"/>
    </row>
    <row r="222" spans="2:2" ht="12.3">
      <c r="B222" s="3"/>
    </row>
    <row r="223" spans="2:2" ht="12.3">
      <c r="B223" s="3"/>
    </row>
    <row r="224" spans="2:2" ht="12.3">
      <c r="B224" s="3"/>
    </row>
    <row r="225" spans="2:2" ht="12.3">
      <c r="B225" s="3"/>
    </row>
    <row r="226" spans="2:2" ht="12.3">
      <c r="B226" s="3"/>
    </row>
    <row r="227" spans="2:2" ht="12.3">
      <c r="B227" s="3"/>
    </row>
    <row r="228" spans="2:2" ht="12.3">
      <c r="B228" s="3"/>
    </row>
    <row r="229" spans="2:2" ht="12.3">
      <c r="B229" s="3"/>
    </row>
    <row r="230" spans="2:2" ht="12.3">
      <c r="B230" s="3"/>
    </row>
    <row r="231" spans="2:2" ht="12.3">
      <c r="B231" s="3"/>
    </row>
    <row r="232" spans="2:2" ht="12.3">
      <c r="B232" s="3"/>
    </row>
    <row r="233" spans="2:2" ht="12.3">
      <c r="B233" s="3"/>
    </row>
    <row r="234" spans="2:2" ht="12.3">
      <c r="B234" s="3"/>
    </row>
    <row r="235" spans="2:2" ht="12.3">
      <c r="B235" s="3"/>
    </row>
    <row r="236" spans="2:2" ht="12.3">
      <c r="B236" s="3"/>
    </row>
    <row r="237" spans="2:2" ht="12.3">
      <c r="B237" s="3"/>
    </row>
    <row r="238" spans="2:2" ht="12.3">
      <c r="B238" s="3"/>
    </row>
    <row r="239" spans="2:2" ht="12.3">
      <c r="B239" s="3"/>
    </row>
    <row r="240" spans="2:2" ht="12.3">
      <c r="B240" s="3"/>
    </row>
    <row r="241" spans="2:2" ht="12.3">
      <c r="B241" s="3"/>
    </row>
    <row r="242" spans="2:2" ht="12.3">
      <c r="B242" s="3"/>
    </row>
    <row r="243" spans="2:2" ht="12.3">
      <c r="B243" s="3"/>
    </row>
    <row r="244" spans="2:2" ht="12.3">
      <c r="B244" s="3"/>
    </row>
    <row r="245" spans="2:2" ht="12.3">
      <c r="B245" s="3"/>
    </row>
    <row r="246" spans="2:2" ht="12.3">
      <c r="B246" s="3"/>
    </row>
    <row r="247" spans="2:2" ht="12.3">
      <c r="B247" s="3"/>
    </row>
    <row r="248" spans="2:2" ht="12.3">
      <c r="B248" s="3"/>
    </row>
    <row r="249" spans="2:2" ht="12.3">
      <c r="B249" s="3"/>
    </row>
    <row r="250" spans="2:2" ht="12.3">
      <c r="B250" s="3"/>
    </row>
    <row r="251" spans="2:2" ht="12.3">
      <c r="B251" s="3"/>
    </row>
    <row r="252" spans="2:2" ht="12.3">
      <c r="B252" s="3"/>
    </row>
    <row r="253" spans="2:2" ht="12.3">
      <c r="B253" s="3"/>
    </row>
    <row r="254" spans="2:2" ht="12.3">
      <c r="B254" s="3"/>
    </row>
    <row r="255" spans="2:2" ht="12.3">
      <c r="B255" s="3"/>
    </row>
    <row r="256" spans="2:2" ht="12.3">
      <c r="B256" s="3"/>
    </row>
    <row r="257" spans="2:2" ht="12.3">
      <c r="B257" s="3"/>
    </row>
    <row r="258" spans="2:2" ht="12.3">
      <c r="B258" s="3"/>
    </row>
    <row r="259" spans="2:2" ht="12.3">
      <c r="B259" s="3"/>
    </row>
    <row r="260" spans="2:2" ht="12.3">
      <c r="B260" s="3"/>
    </row>
    <row r="261" spans="2:2" ht="12.3">
      <c r="B261" s="3"/>
    </row>
    <row r="262" spans="2:2" ht="12.3">
      <c r="B262" s="3"/>
    </row>
    <row r="263" spans="2:2" ht="12.3">
      <c r="B263" s="3"/>
    </row>
    <row r="264" spans="2:2" ht="12.3">
      <c r="B264" s="3"/>
    </row>
    <row r="265" spans="2:2" ht="12.3">
      <c r="B265" s="3"/>
    </row>
    <row r="266" spans="2:2" ht="12.3">
      <c r="B266" s="3"/>
    </row>
    <row r="267" spans="2:2" ht="12.3">
      <c r="B267" s="3"/>
    </row>
    <row r="268" spans="2:2" ht="12.3">
      <c r="B268" s="3"/>
    </row>
    <row r="269" spans="2:2" ht="12.3">
      <c r="B269" s="3"/>
    </row>
    <row r="270" spans="2:2" ht="12.3">
      <c r="B270" s="3"/>
    </row>
    <row r="271" spans="2:2" ht="12.3">
      <c r="B271" s="3"/>
    </row>
    <row r="272" spans="2:2" ht="12.3">
      <c r="B272" s="3"/>
    </row>
    <row r="273" spans="2:2" ht="12.3">
      <c r="B273" s="3"/>
    </row>
    <row r="274" spans="2:2" ht="12.3">
      <c r="B274" s="3"/>
    </row>
    <row r="275" spans="2:2" ht="12.3">
      <c r="B275" s="3"/>
    </row>
    <row r="276" spans="2:2" ht="12.3">
      <c r="B276" s="3"/>
    </row>
    <row r="277" spans="2:2" ht="12.3">
      <c r="B277" s="3"/>
    </row>
    <row r="278" spans="2:2" ht="12.3">
      <c r="B278" s="3"/>
    </row>
    <row r="279" spans="2:2" ht="12.3">
      <c r="B279" s="3"/>
    </row>
    <row r="280" spans="2:2" ht="12.3">
      <c r="B280" s="3"/>
    </row>
    <row r="281" spans="2:2" ht="12.3">
      <c r="B281" s="3"/>
    </row>
    <row r="282" spans="2:2" ht="12.3">
      <c r="B282" s="3"/>
    </row>
    <row r="283" spans="2:2" ht="12.3">
      <c r="B283" s="3"/>
    </row>
    <row r="284" spans="2:2" ht="12.3">
      <c r="B284" s="3"/>
    </row>
    <row r="285" spans="2:2" ht="12.3">
      <c r="B285" s="3"/>
    </row>
    <row r="286" spans="2:2" ht="12.3">
      <c r="B286" s="3"/>
    </row>
    <row r="287" spans="2:2" ht="12.3">
      <c r="B287" s="3"/>
    </row>
    <row r="288" spans="2:2" ht="12.3">
      <c r="B288" s="3"/>
    </row>
    <row r="289" spans="2:2" ht="12.3">
      <c r="B289" s="3"/>
    </row>
    <row r="290" spans="2:2" ht="12.3">
      <c r="B290" s="3"/>
    </row>
    <row r="291" spans="2:2" ht="12.3">
      <c r="B291" s="3"/>
    </row>
    <row r="292" spans="2:2" ht="12.3">
      <c r="B292" s="3"/>
    </row>
    <row r="293" spans="2:2" ht="12.3">
      <c r="B293" s="3"/>
    </row>
    <row r="294" spans="2:2" ht="12.3">
      <c r="B294" s="3"/>
    </row>
    <row r="295" spans="2:2" ht="12.3">
      <c r="B295" s="3"/>
    </row>
    <row r="296" spans="2:2" ht="12.3">
      <c r="B296" s="3"/>
    </row>
    <row r="297" spans="2:2" ht="12.3">
      <c r="B297" s="3"/>
    </row>
    <row r="298" spans="2:2" ht="12.3">
      <c r="B298" s="3"/>
    </row>
    <row r="299" spans="2:2" ht="12.3">
      <c r="B299" s="3"/>
    </row>
    <row r="300" spans="2:2" ht="12.3">
      <c r="B300" s="3"/>
    </row>
    <row r="301" spans="2:2" ht="12.3">
      <c r="B301" s="3"/>
    </row>
    <row r="302" spans="2:2" ht="12.3">
      <c r="B302" s="3"/>
    </row>
    <row r="303" spans="2:2" ht="12.3">
      <c r="B303" s="3"/>
    </row>
    <row r="304" spans="2:2" ht="12.3">
      <c r="B304" s="3"/>
    </row>
    <row r="305" spans="2:2" ht="12.3">
      <c r="B305" s="3"/>
    </row>
    <row r="306" spans="2:2" ht="12.3">
      <c r="B306" s="3"/>
    </row>
    <row r="307" spans="2:2" ht="12.3">
      <c r="B307" s="3"/>
    </row>
    <row r="308" spans="2:2" ht="12.3">
      <c r="B308" s="3"/>
    </row>
    <row r="309" spans="2:2" ht="12.3">
      <c r="B309" s="3"/>
    </row>
    <row r="310" spans="2:2" ht="12.3">
      <c r="B310" s="3"/>
    </row>
    <row r="311" spans="2:2" ht="12.3">
      <c r="B311" s="3"/>
    </row>
    <row r="312" spans="2:2" ht="12.3">
      <c r="B312" s="3"/>
    </row>
    <row r="313" spans="2:2" ht="12.3">
      <c r="B313" s="3"/>
    </row>
    <row r="314" spans="2:2" ht="12.3">
      <c r="B314" s="3"/>
    </row>
    <row r="315" spans="2:2" ht="12.3">
      <c r="B315" s="3"/>
    </row>
    <row r="316" spans="2:2" ht="12.3">
      <c r="B316" s="3"/>
    </row>
    <row r="317" spans="2:2" ht="12.3">
      <c r="B317" s="3"/>
    </row>
    <row r="318" spans="2:2" ht="12.3">
      <c r="B318" s="3"/>
    </row>
    <row r="319" spans="2:2" ht="12.3">
      <c r="B319" s="3"/>
    </row>
    <row r="320" spans="2:2" ht="12.3">
      <c r="B320" s="3"/>
    </row>
    <row r="321" spans="2:2" ht="12.3">
      <c r="B321" s="3"/>
    </row>
    <row r="322" spans="2:2" ht="12.3">
      <c r="B322" s="3"/>
    </row>
    <row r="323" spans="2:2" ht="12.3">
      <c r="B323" s="3"/>
    </row>
    <row r="324" spans="2:2" ht="12.3">
      <c r="B324" s="3"/>
    </row>
    <row r="325" spans="2:2" ht="12.3">
      <c r="B325" s="3"/>
    </row>
    <row r="326" spans="2:2" ht="12.3">
      <c r="B326" s="3"/>
    </row>
    <row r="327" spans="2:2" ht="12.3">
      <c r="B327" s="3"/>
    </row>
    <row r="328" spans="2:2" ht="12.3">
      <c r="B328" s="3"/>
    </row>
    <row r="329" spans="2:2" ht="12.3">
      <c r="B329" s="3"/>
    </row>
    <row r="330" spans="2:2" ht="12.3">
      <c r="B330" s="3"/>
    </row>
    <row r="331" spans="2:2" ht="12.3">
      <c r="B331" s="3"/>
    </row>
    <row r="332" spans="2:2" ht="12.3">
      <c r="B332" s="3"/>
    </row>
    <row r="333" spans="2:2" ht="12.3">
      <c r="B333" s="3"/>
    </row>
    <row r="334" spans="2:2" ht="12.3">
      <c r="B334" s="3"/>
    </row>
    <row r="335" spans="2:2" ht="12.3">
      <c r="B335" s="3"/>
    </row>
    <row r="336" spans="2:2" ht="12.3">
      <c r="B336" s="3"/>
    </row>
    <row r="337" spans="2:2" ht="12.3">
      <c r="B337" s="3"/>
    </row>
    <row r="338" spans="2:2" ht="12.3">
      <c r="B338" s="3"/>
    </row>
    <row r="339" spans="2:2" ht="12.3">
      <c r="B339" s="3"/>
    </row>
    <row r="340" spans="2:2" ht="12.3">
      <c r="B340" s="3"/>
    </row>
    <row r="341" spans="2:2" ht="12.3">
      <c r="B341" s="3"/>
    </row>
    <row r="342" spans="2:2" ht="12.3">
      <c r="B342" s="3"/>
    </row>
    <row r="343" spans="2:2" ht="12.3">
      <c r="B343" s="3"/>
    </row>
    <row r="344" spans="2:2" ht="12.3">
      <c r="B344" s="3"/>
    </row>
    <row r="345" spans="2:2" ht="12.3">
      <c r="B345" s="3"/>
    </row>
    <row r="346" spans="2:2" ht="12.3">
      <c r="B346" s="3"/>
    </row>
    <row r="347" spans="2:2" ht="12.3">
      <c r="B347" s="3"/>
    </row>
    <row r="348" spans="2:2" ht="12.3">
      <c r="B348" s="3"/>
    </row>
    <row r="349" spans="2:2" ht="12.3">
      <c r="B349" s="3"/>
    </row>
    <row r="350" spans="2:2" ht="12.3">
      <c r="B350" s="3"/>
    </row>
    <row r="351" spans="2:2" ht="12.3">
      <c r="B351" s="3"/>
    </row>
    <row r="352" spans="2:2" ht="12.3">
      <c r="B352" s="3"/>
    </row>
    <row r="353" spans="2:2" ht="12.3">
      <c r="B353" s="3"/>
    </row>
    <row r="354" spans="2:2" ht="12.3">
      <c r="B354" s="3"/>
    </row>
    <row r="355" spans="2:2" ht="12.3">
      <c r="B355" s="3"/>
    </row>
    <row r="356" spans="2:2" ht="12.3">
      <c r="B356" s="3"/>
    </row>
    <row r="357" spans="2:2" ht="12.3">
      <c r="B357" s="3"/>
    </row>
    <row r="358" spans="2:2" ht="12.3">
      <c r="B358" s="3"/>
    </row>
    <row r="359" spans="2:2" ht="12.3">
      <c r="B359" s="3"/>
    </row>
    <row r="360" spans="2:2" ht="12.3">
      <c r="B360" s="3"/>
    </row>
    <row r="361" spans="2:2" ht="12.3">
      <c r="B361" s="3"/>
    </row>
    <row r="362" spans="2:2" ht="12.3">
      <c r="B362" s="3"/>
    </row>
    <row r="363" spans="2:2" ht="12.3">
      <c r="B363" s="3"/>
    </row>
    <row r="364" spans="2:2" ht="12.3">
      <c r="B364" s="3"/>
    </row>
    <row r="365" spans="2:2" ht="12.3">
      <c r="B365" s="3"/>
    </row>
    <row r="366" spans="2:2" ht="12.3">
      <c r="B366" s="3"/>
    </row>
    <row r="367" spans="2:2" ht="12.3">
      <c r="B367" s="3"/>
    </row>
    <row r="368" spans="2:2" ht="12.3">
      <c r="B368" s="3"/>
    </row>
    <row r="369" spans="2:2" ht="12.3">
      <c r="B369" s="3"/>
    </row>
    <row r="370" spans="2:2" ht="12.3">
      <c r="B370" s="3"/>
    </row>
    <row r="371" spans="2:2" ht="12.3">
      <c r="B371" s="3"/>
    </row>
    <row r="372" spans="2:2" ht="12.3">
      <c r="B372" s="3"/>
    </row>
    <row r="373" spans="2:2" ht="12.3">
      <c r="B373" s="3"/>
    </row>
    <row r="374" spans="2:2" ht="12.3">
      <c r="B374" s="3"/>
    </row>
    <row r="375" spans="2:2" ht="12.3">
      <c r="B375" s="3"/>
    </row>
    <row r="376" spans="2:2" ht="12.3">
      <c r="B376" s="3"/>
    </row>
    <row r="377" spans="2:2" ht="12.3">
      <c r="B377" s="3"/>
    </row>
    <row r="378" spans="2:2" ht="12.3">
      <c r="B378" s="3"/>
    </row>
    <row r="379" spans="2:2" ht="12.3">
      <c r="B379" s="3"/>
    </row>
    <row r="380" spans="2:2" ht="12.3">
      <c r="B380" s="3"/>
    </row>
    <row r="381" spans="2:2" ht="12.3">
      <c r="B381" s="3"/>
    </row>
    <row r="382" spans="2:2" ht="12.3">
      <c r="B382" s="3"/>
    </row>
    <row r="383" spans="2:2" ht="12.3">
      <c r="B383" s="3"/>
    </row>
    <row r="384" spans="2:2" ht="12.3">
      <c r="B384" s="3"/>
    </row>
    <row r="385" spans="2:2" ht="12.3">
      <c r="B385" s="3"/>
    </row>
    <row r="386" spans="2:2" ht="12.3">
      <c r="B386" s="3"/>
    </row>
    <row r="387" spans="2:2" ht="12.3">
      <c r="B387" s="3"/>
    </row>
    <row r="388" spans="2:2" ht="12.3">
      <c r="B388" s="3"/>
    </row>
    <row r="389" spans="2:2" ht="12.3">
      <c r="B389" s="3"/>
    </row>
    <row r="390" spans="2:2" ht="12.3">
      <c r="B390" s="3"/>
    </row>
    <row r="391" spans="2:2" ht="12.3">
      <c r="B391" s="3"/>
    </row>
    <row r="392" spans="2:2" ht="12.3">
      <c r="B392" s="3"/>
    </row>
    <row r="393" spans="2:2" ht="12.3">
      <c r="B393" s="3"/>
    </row>
    <row r="394" spans="2:2" ht="12.3">
      <c r="B394" s="3"/>
    </row>
    <row r="395" spans="2:2" ht="12.3">
      <c r="B395" s="3"/>
    </row>
    <row r="396" spans="2:2" ht="12.3">
      <c r="B396" s="3"/>
    </row>
    <row r="397" spans="2:2" ht="12.3">
      <c r="B397" s="3"/>
    </row>
    <row r="398" spans="2:2" ht="12.3">
      <c r="B398" s="3"/>
    </row>
    <row r="399" spans="2:2" ht="12.3">
      <c r="B399" s="3"/>
    </row>
    <row r="400" spans="2:2" ht="12.3">
      <c r="B400" s="3"/>
    </row>
    <row r="401" spans="2:2" ht="12.3">
      <c r="B401" s="3"/>
    </row>
    <row r="402" spans="2:2" ht="12.3">
      <c r="B402" s="3"/>
    </row>
    <row r="403" spans="2:2" ht="12.3">
      <c r="B403" s="3"/>
    </row>
    <row r="404" spans="2:2" ht="12.3">
      <c r="B404" s="3"/>
    </row>
    <row r="405" spans="2:2" ht="12.3">
      <c r="B405" s="3"/>
    </row>
    <row r="406" spans="2:2" ht="12.3">
      <c r="B406" s="3"/>
    </row>
    <row r="407" spans="2:2" ht="12.3">
      <c r="B407" s="3"/>
    </row>
    <row r="408" spans="2:2" ht="12.3">
      <c r="B408" s="3"/>
    </row>
    <row r="409" spans="2:2" ht="12.3">
      <c r="B409" s="3"/>
    </row>
    <row r="410" spans="2:2" ht="12.3">
      <c r="B410" s="3"/>
    </row>
    <row r="411" spans="2:2" ht="12.3">
      <c r="B411" s="3"/>
    </row>
    <row r="412" spans="2:2" ht="12.3">
      <c r="B412" s="3"/>
    </row>
    <row r="413" spans="2:2" ht="12.3">
      <c r="B413" s="3"/>
    </row>
    <row r="414" spans="2:2" ht="12.3">
      <c r="B414" s="3"/>
    </row>
    <row r="415" spans="2:2" ht="12.3">
      <c r="B415" s="3"/>
    </row>
    <row r="416" spans="2:2" ht="12.3">
      <c r="B416" s="3"/>
    </row>
    <row r="417" spans="2:2" ht="12.3">
      <c r="B417" s="3"/>
    </row>
    <row r="418" spans="2:2" ht="12.3">
      <c r="B418" s="3"/>
    </row>
    <row r="419" spans="2:2" ht="12.3">
      <c r="B419" s="3"/>
    </row>
    <row r="420" spans="2:2" ht="12.3">
      <c r="B420" s="3"/>
    </row>
    <row r="421" spans="2:2" ht="12.3">
      <c r="B421" s="3"/>
    </row>
    <row r="422" spans="2:2" ht="12.3">
      <c r="B422" s="3"/>
    </row>
    <row r="423" spans="2:2" ht="12.3">
      <c r="B423" s="3"/>
    </row>
    <row r="424" spans="2:2" ht="12.3">
      <c r="B424" s="3"/>
    </row>
    <row r="425" spans="2:2" ht="12.3">
      <c r="B425" s="3"/>
    </row>
    <row r="426" spans="2:2" ht="12.3">
      <c r="B426" s="3"/>
    </row>
    <row r="427" spans="2:2" ht="12.3">
      <c r="B427" s="3"/>
    </row>
    <row r="428" spans="2:2" ht="12.3">
      <c r="B428" s="3"/>
    </row>
    <row r="429" spans="2:2" ht="12.3">
      <c r="B429" s="3"/>
    </row>
    <row r="430" spans="2:2" ht="12.3">
      <c r="B430" s="3"/>
    </row>
    <row r="431" spans="2:2" ht="12.3">
      <c r="B431" s="3"/>
    </row>
    <row r="432" spans="2:2" ht="12.3">
      <c r="B432" s="3"/>
    </row>
    <row r="433" spans="2:2" ht="12.3">
      <c r="B433" s="3"/>
    </row>
    <row r="434" spans="2:2" ht="12.3">
      <c r="B434" s="3"/>
    </row>
    <row r="435" spans="2:2" ht="12.3">
      <c r="B435" s="3"/>
    </row>
    <row r="436" spans="2:2" ht="12.3">
      <c r="B436" s="3"/>
    </row>
    <row r="437" spans="2:2" ht="12.3">
      <c r="B437" s="3"/>
    </row>
    <row r="438" spans="2:2" ht="12.3">
      <c r="B438" s="3"/>
    </row>
    <row r="439" spans="2:2" ht="12.3">
      <c r="B439" s="3"/>
    </row>
    <row r="440" spans="2:2" ht="12.3">
      <c r="B440" s="3"/>
    </row>
    <row r="441" spans="2:2" ht="12.3">
      <c r="B441" s="3"/>
    </row>
    <row r="442" spans="2:2" ht="12.3">
      <c r="B442" s="3"/>
    </row>
    <row r="443" spans="2:2" ht="12.3">
      <c r="B443" s="3"/>
    </row>
    <row r="444" spans="2:2" ht="12.3">
      <c r="B444" s="3"/>
    </row>
    <row r="445" spans="2:2" ht="12.3">
      <c r="B445" s="3"/>
    </row>
    <row r="446" spans="2:2" ht="12.3">
      <c r="B446" s="3"/>
    </row>
    <row r="447" spans="2:2" ht="12.3">
      <c r="B447" s="3"/>
    </row>
    <row r="448" spans="2:2" ht="12.3">
      <c r="B448" s="3"/>
    </row>
    <row r="449" spans="2:2" ht="12.3">
      <c r="B449" s="3"/>
    </row>
    <row r="450" spans="2:2" ht="12.3">
      <c r="B450" s="3"/>
    </row>
    <row r="451" spans="2:2" ht="12.3">
      <c r="B451" s="3"/>
    </row>
    <row r="452" spans="2:2" ht="12.3">
      <c r="B452" s="3"/>
    </row>
    <row r="453" spans="2:2" ht="12.3">
      <c r="B453" s="3"/>
    </row>
    <row r="454" spans="2:2" ht="12.3">
      <c r="B454" s="3"/>
    </row>
    <row r="455" spans="2:2" ht="12.3">
      <c r="B455" s="3"/>
    </row>
    <row r="456" spans="2:2" ht="12.3">
      <c r="B456" s="3"/>
    </row>
    <row r="457" spans="2:2" ht="12.3">
      <c r="B457" s="3"/>
    </row>
    <row r="458" spans="2:2" ht="12.3">
      <c r="B458" s="3"/>
    </row>
    <row r="459" spans="2:2" ht="12.3">
      <c r="B459" s="3"/>
    </row>
    <row r="460" spans="2:2" ht="12.3">
      <c r="B460" s="3"/>
    </row>
    <row r="461" spans="2:2" ht="12.3">
      <c r="B461" s="3"/>
    </row>
    <row r="462" spans="2:2" ht="12.3">
      <c r="B462" s="3"/>
    </row>
    <row r="463" spans="2:2" ht="12.3">
      <c r="B463" s="3"/>
    </row>
    <row r="464" spans="2:2" ht="12.3">
      <c r="B464" s="3"/>
    </row>
    <row r="465" spans="2:2" ht="12.3">
      <c r="B465" s="3"/>
    </row>
    <row r="466" spans="2:2" ht="12.3">
      <c r="B466" s="3"/>
    </row>
    <row r="467" spans="2:2" ht="12.3">
      <c r="B467" s="3"/>
    </row>
    <row r="468" spans="2:2" ht="12.3">
      <c r="B468" s="3"/>
    </row>
    <row r="469" spans="2:2" ht="12.3">
      <c r="B469" s="3"/>
    </row>
    <row r="470" spans="2:2" ht="12.3">
      <c r="B470" s="3"/>
    </row>
    <row r="471" spans="2:2" ht="12.3">
      <c r="B471" s="3"/>
    </row>
    <row r="472" spans="2:2" ht="12.3">
      <c r="B472" s="3"/>
    </row>
    <row r="473" spans="2:2" ht="12.3">
      <c r="B473" s="3"/>
    </row>
    <row r="474" spans="2:2" ht="12.3">
      <c r="B474" s="3"/>
    </row>
    <row r="475" spans="2:2" ht="12.3">
      <c r="B475" s="3"/>
    </row>
    <row r="476" spans="2:2" ht="12.3">
      <c r="B476" s="3"/>
    </row>
    <row r="477" spans="2:2" ht="12.3">
      <c r="B477" s="3"/>
    </row>
    <row r="478" spans="2:2" ht="12.3">
      <c r="B478" s="3"/>
    </row>
    <row r="479" spans="2:2" ht="12.3">
      <c r="B479" s="3"/>
    </row>
    <row r="480" spans="2:2" ht="12.3">
      <c r="B480" s="3"/>
    </row>
    <row r="481" spans="2:2" ht="12.3">
      <c r="B481" s="3"/>
    </row>
    <row r="482" spans="2:2" ht="12.3">
      <c r="B482" s="3"/>
    </row>
    <row r="483" spans="2:2" ht="12.3">
      <c r="B483" s="3"/>
    </row>
    <row r="484" spans="2:2" ht="12.3">
      <c r="B484" s="3"/>
    </row>
    <row r="485" spans="2:2" ht="12.3">
      <c r="B485" s="3"/>
    </row>
    <row r="486" spans="2:2" ht="12.3">
      <c r="B486" s="3"/>
    </row>
    <row r="487" spans="2:2" ht="12.3">
      <c r="B487" s="3"/>
    </row>
    <row r="488" spans="2:2" ht="12.3">
      <c r="B488" s="3"/>
    </row>
    <row r="489" spans="2:2" ht="12.3">
      <c r="B489" s="3"/>
    </row>
    <row r="490" spans="2:2" ht="12.3">
      <c r="B490" s="3"/>
    </row>
    <row r="491" spans="2:2" ht="12.3">
      <c r="B491" s="3"/>
    </row>
    <row r="492" spans="2:2" ht="12.3">
      <c r="B492" s="3"/>
    </row>
    <row r="493" spans="2:2" ht="12.3">
      <c r="B493" s="3"/>
    </row>
    <row r="494" spans="2:2" ht="12.3">
      <c r="B494" s="3"/>
    </row>
    <row r="495" spans="2:2" ht="12.3">
      <c r="B495" s="3"/>
    </row>
    <row r="496" spans="2:2" ht="12.3">
      <c r="B496" s="3"/>
    </row>
    <row r="497" spans="2:2" ht="12.3">
      <c r="B497" s="3"/>
    </row>
    <row r="498" spans="2:2" ht="12.3">
      <c r="B498" s="3"/>
    </row>
    <row r="499" spans="2:2" ht="12.3">
      <c r="B499" s="3"/>
    </row>
    <row r="500" spans="2:2" ht="12.3">
      <c r="B500" s="3"/>
    </row>
    <row r="501" spans="2:2" ht="12.3">
      <c r="B501" s="3"/>
    </row>
    <row r="502" spans="2:2" ht="12.3">
      <c r="B502" s="3"/>
    </row>
    <row r="503" spans="2:2" ht="12.3">
      <c r="B503" s="3"/>
    </row>
    <row r="504" spans="2:2" ht="12.3">
      <c r="B504" s="3"/>
    </row>
    <row r="505" spans="2:2" ht="12.3">
      <c r="B505" s="3"/>
    </row>
    <row r="506" spans="2:2" ht="12.3">
      <c r="B506" s="3"/>
    </row>
    <row r="507" spans="2:2" ht="12.3">
      <c r="B507" s="3"/>
    </row>
    <row r="508" spans="2:2" ht="12.3">
      <c r="B508" s="3"/>
    </row>
    <row r="509" spans="2:2" ht="12.3">
      <c r="B509" s="3"/>
    </row>
    <row r="510" spans="2:2" ht="12.3">
      <c r="B510" s="3"/>
    </row>
    <row r="511" spans="2:2" ht="12.3">
      <c r="B511" s="3"/>
    </row>
    <row r="512" spans="2:2" ht="12.3">
      <c r="B512" s="3"/>
    </row>
    <row r="513" spans="2:2" ht="12.3">
      <c r="B513" s="3"/>
    </row>
    <row r="514" spans="2:2" ht="12.3">
      <c r="B514" s="3"/>
    </row>
    <row r="515" spans="2:2" ht="12.3">
      <c r="B515" s="3"/>
    </row>
    <row r="516" spans="2:2" ht="12.3">
      <c r="B516" s="3"/>
    </row>
    <row r="517" spans="2:2" ht="12.3">
      <c r="B517" s="3"/>
    </row>
    <row r="518" spans="2:2" ht="12.3">
      <c r="B518" s="3"/>
    </row>
    <row r="519" spans="2:2" ht="12.3">
      <c r="B519" s="3"/>
    </row>
    <row r="520" spans="2:2" ht="12.3">
      <c r="B520" s="3"/>
    </row>
    <row r="521" spans="2:2" ht="12.3">
      <c r="B521" s="3"/>
    </row>
    <row r="522" spans="2:2" ht="12.3">
      <c r="B522" s="3"/>
    </row>
    <row r="523" spans="2:2" ht="12.3">
      <c r="B523" s="3"/>
    </row>
    <row r="524" spans="2:2" ht="12.3">
      <c r="B524" s="3"/>
    </row>
    <row r="525" spans="2:2" ht="12.3">
      <c r="B525" s="3"/>
    </row>
    <row r="526" spans="2:2" ht="12.3">
      <c r="B526" s="3"/>
    </row>
    <row r="527" spans="2:2" ht="12.3">
      <c r="B527" s="3"/>
    </row>
    <row r="528" spans="2:2" ht="12.3">
      <c r="B528" s="3"/>
    </row>
    <row r="529" spans="2:2" ht="12.3">
      <c r="B529" s="3"/>
    </row>
    <row r="530" spans="2:2" ht="12.3">
      <c r="B530" s="3"/>
    </row>
    <row r="531" spans="2:2" ht="12.3">
      <c r="B531" s="3"/>
    </row>
    <row r="532" spans="2:2" ht="12.3">
      <c r="B532" s="3"/>
    </row>
    <row r="533" spans="2:2" ht="12.3">
      <c r="B533" s="3"/>
    </row>
    <row r="534" spans="2:2" ht="12.3">
      <c r="B534" s="3"/>
    </row>
    <row r="535" spans="2:2" ht="12.3">
      <c r="B535" s="3"/>
    </row>
    <row r="536" spans="2:2" ht="12.3">
      <c r="B536" s="3"/>
    </row>
    <row r="537" spans="2:2" ht="12.3">
      <c r="B537" s="3"/>
    </row>
    <row r="538" spans="2:2" ht="12.3">
      <c r="B538" s="3"/>
    </row>
    <row r="539" spans="2:2" ht="12.3">
      <c r="B539" s="3"/>
    </row>
    <row r="540" spans="2:2" ht="12.3">
      <c r="B540" s="3"/>
    </row>
    <row r="541" spans="2:2" ht="12.3">
      <c r="B541" s="3"/>
    </row>
    <row r="542" spans="2:2" ht="12.3">
      <c r="B542" s="3"/>
    </row>
    <row r="543" spans="2:2" ht="12.3">
      <c r="B543" s="3"/>
    </row>
    <row r="544" spans="2:2" ht="12.3">
      <c r="B544" s="3"/>
    </row>
    <row r="545" spans="2:2" ht="12.3">
      <c r="B545" s="3"/>
    </row>
    <row r="546" spans="2:2" ht="12.3">
      <c r="B546" s="3"/>
    </row>
    <row r="547" spans="2:2" ht="12.3">
      <c r="B547" s="3"/>
    </row>
    <row r="548" spans="2:2" ht="12.3">
      <c r="B548" s="3"/>
    </row>
    <row r="549" spans="2:2" ht="12.3">
      <c r="B549" s="3"/>
    </row>
    <row r="550" spans="2:2" ht="12.3">
      <c r="B550" s="3"/>
    </row>
    <row r="551" spans="2:2" ht="12.3">
      <c r="B551" s="3"/>
    </row>
    <row r="552" spans="2:2" ht="12.3">
      <c r="B552" s="3"/>
    </row>
    <row r="553" spans="2:2" ht="12.3">
      <c r="B553" s="3"/>
    </row>
    <row r="554" spans="2:2" ht="12.3">
      <c r="B554" s="3"/>
    </row>
    <row r="555" spans="2:2" ht="12.3">
      <c r="B555" s="3"/>
    </row>
    <row r="556" spans="2:2" ht="12.3">
      <c r="B556" s="3"/>
    </row>
    <row r="557" spans="2:2" ht="12.3">
      <c r="B557" s="3"/>
    </row>
    <row r="558" spans="2:2" ht="12.3">
      <c r="B558" s="3"/>
    </row>
    <row r="559" spans="2:2" ht="12.3">
      <c r="B559" s="3"/>
    </row>
    <row r="560" spans="2:2" ht="12.3">
      <c r="B560" s="3"/>
    </row>
    <row r="561" spans="2:2" ht="12.3">
      <c r="B561" s="3"/>
    </row>
    <row r="562" spans="2:2" ht="12.3">
      <c r="B562" s="3"/>
    </row>
    <row r="563" spans="2:2" ht="12.3">
      <c r="B563" s="3"/>
    </row>
    <row r="564" spans="2:2" ht="12.3">
      <c r="B564" s="3"/>
    </row>
    <row r="565" spans="2:2" ht="12.3">
      <c r="B565" s="3"/>
    </row>
    <row r="566" spans="2:2" ht="12.3">
      <c r="B566" s="3"/>
    </row>
    <row r="567" spans="2:2" ht="12.3">
      <c r="B567" s="3"/>
    </row>
    <row r="568" spans="2:2" ht="12.3">
      <c r="B568" s="3"/>
    </row>
    <row r="569" spans="2:2" ht="12.3">
      <c r="B569" s="3"/>
    </row>
    <row r="570" spans="2:2" ht="12.3">
      <c r="B570" s="3"/>
    </row>
    <row r="571" spans="2:2" ht="12.3">
      <c r="B571" s="3"/>
    </row>
    <row r="572" spans="2:2" ht="12.3">
      <c r="B572" s="3"/>
    </row>
    <row r="573" spans="2:2" ht="12.3">
      <c r="B573" s="3"/>
    </row>
    <row r="574" spans="2:2" ht="12.3">
      <c r="B574" s="3"/>
    </row>
    <row r="575" spans="2:2" ht="12.3">
      <c r="B575" s="3"/>
    </row>
    <row r="576" spans="2:2" ht="12.3">
      <c r="B576" s="3"/>
    </row>
    <row r="577" spans="2:2" ht="12.3">
      <c r="B577" s="3"/>
    </row>
    <row r="578" spans="2:2" ht="12.3">
      <c r="B578" s="3"/>
    </row>
    <row r="579" spans="2:2" ht="12.3">
      <c r="B579" s="3"/>
    </row>
    <row r="580" spans="2:2" ht="12.3">
      <c r="B580" s="3"/>
    </row>
    <row r="581" spans="2:2" ht="12.3">
      <c r="B581" s="3"/>
    </row>
    <row r="582" spans="2:2" ht="12.3">
      <c r="B582" s="3"/>
    </row>
    <row r="583" spans="2:2" ht="12.3">
      <c r="B583" s="3"/>
    </row>
    <row r="584" spans="2:2" ht="12.3">
      <c r="B584" s="3"/>
    </row>
    <row r="585" spans="2:2" ht="12.3">
      <c r="B585" s="3"/>
    </row>
    <row r="586" spans="2:2" ht="12.3">
      <c r="B586" s="3"/>
    </row>
    <row r="587" spans="2:2" ht="12.3">
      <c r="B587" s="3"/>
    </row>
    <row r="588" spans="2:2" ht="12.3">
      <c r="B588" s="3"/>
    </row>
    <row r="589" spans="2:2" ht="12.3">
      <c r="B589" s="3"/>
    </row>
    <row r="590" spans="2:2" ht="12.3">
      <c r="B590" s="3"/>
    </row>
    <row r="591" spans="2:2" ht="12.3">
      <c r="B591" s="3"/>
    </row>
    <row r="592" spans="2:2" ht="12.3">
      <c r="B592" s="3"/>
    </row>
    <row r="593" spans="2:2" ht="12.3">
      <c r="B593" s="3"/>
    </row>
    <row r="594" spans="2:2" ht="12.3">
      <c r="B594" s="3"/>
    </row>
    <row r="595" spans="2:2" ht="12.3">
      <c r="B595" s="3"/>
    </row>
    <row r="596" spans="2:2" ht="12.3">
      <c r="B596" s="3"/>
    </row>
    <row r="597" spans="2:2" ht="12.3">
      <c r="B597" s="3"/>
    </row>
    <row r="598" spans="2:2" ht="12.3">
      <c r="B598" s="3"/>
    </row>
    <row r="599" spans="2:2" ht="12.3">
      <c r="B599" s="3"/>
    </row>
    <row r="600" spans="2:2" ht="12.3">
      <c r="B600" s="3"/>
    </row>
    <row r="601" spans="2:2" ht="12.3">
      <c r="B601" s="3"/>
    </row>
    <row r="602" spans="2:2" ht="12.3">
      <c r="B602" s="3"/>
    </row>
    <row r="603" spans="2:2" ht="12.3">
      <c r="B603" s="3"/>
    </row>
    <row r="604" spans="2:2" ht="12.3">
      <c r="B604" s="3"/>
    </row>
    <row r="605" spans="2:2" ht="12.3">
      <c r="B605" s="3"/>
    </row>
    <row r="606" spans="2:2" ht="12.3">
      <c r="B606" s="3"/>
    </row>
    <row r="607" spans="2:2" ht="12.3">
      <c r="B607" s="3"/>
    </row>
    <row r="608" spans="2:2" ht="12.3">
      <c r="B608" s="3"/>
    </row>
    <row r="609" spans="2:2" ht="12.3">
      <c r="B609" s="3"/>
    </row>
    <row r="610" spans="2:2" ht="12.3">
      <c r="B610" s="3"/>
    </row>
    <row r="611" spans="2:2" ht="12.3">
      <c r="B611" s="3"/>
    </row>
    <row r="612" spans="2:2" ht="12.3">
      <c r="B612" s="3"/>
    </row>
    <row r="613" spans="2:2" ht="12.3">
      <c r="B613" s="3"/>
    </row>
    <row r="614" spans="2:2" ht="12.3">
      <c r="B614" s="3"/>
    </row>
    <row r="615" spans="2:2" ht="12.3">
      <c r="B615" s="3"/>
    </row>
    <row r="616" spans="2:2" ht="12.3">
      <c r="B616" s="3"/>
    </row>
    <row r="617" spans="2:2" ht="12.3">
      <c r="B617" s="3"/>
    </row>
    <row r="618" spans="2:2" ht="12.3">
      <c r="B618" s="3"/>
    </row>
    <row r="619" spans="2:2" ht="12.3">
      <c r="B619" s="3"/>
    </row>
    <row r="620" spans="2:2" ht="12.3">
      <c r="B620" s="3"/>
    </row>
    <row r="621" spans="2:2" ht="12.3">
      <c r="B621" s="3"/>
    </row>
    <row r="622" spans="2:2" ht="12.3">
      <c r="B622" s="3"/>
    </row>
    <row r="623" spans="2:2" ht="12.3">
      <c r="B623" s="3"/>
    </row>
    <row r="624" spans="2:2" ht="12.3">
      <c r="B624" s="3"/>
    </row>
    <row r="625" spans="2:2" ht="12.3">
      <c r="B625" s="3"/>
    </row>
    <row r="626" spans="2:2" ht="12.3">
      <c r="B626" s="3"/>
    </row>
    <row r="627" spans="2:2" ht="12.3">
      <c r="B627" s="3"/>
    </row>
    <row r="628" spans="2:2" ht="12.3">
      <c r="B628" s="3"/>
    </row>
    <row r="629" spans="2:2" ht="12.3">
      <c r="B629" s="3"/>
    </row>
    <row r="630" spans="2:2" ht="12.3">
      <c r="B630" s="3"/>
    </row>
    <row r="631" spans="2:2" ht="12.3">
      <c r="B631" s="3"/>
    </row>
    <row r="632" spans="2:2" ht="12.3">
      <c r="B632" s="3"/>
    </row>
    <row r="633" spans="2:2" ht="12.3">
      <c r="B633" s="3"/>
    </row>
    <row r="634" spans="2:2" ht="12.3">
      <c r="B634" s="3"/>
    </row>
    <row r="635" spans="2:2" ht="12.3">
      <c r="B635" s="3"/>
    </row>
    <row r="636" spans="2:2" ht="12.3">
      <c r="B636" s="3"/>
    </row>
    <row r="637" spans="2:2" ht="12.3">
      <c r="B637" s="3"/>
    </row>
    <row r="638" spans="2:2" ht="12.3">
      <c r="B638" s="3"/>
    </row>
    <row r="639" spans="2:2" ht="12.3">
      <c r="B639" s="3"/>
    </row>
    <row r="640" spans="2:2" ht="12.3">
      <c r="B640" s="3"/>
    </row>
    <row r="641" spans="2:2" ht="12.3">
      <c r="B641" s="3"/>
    </row>
    <row r="642" spans="2:2" ht="12.3">
      <c r="B642" s="3"/>
    </row>
    <row r="643" spans="2:2" ht="12.3">
      <c r="B643" s="3"/>
    </row>
    <row r="644" spans="2:2" ht="12.3">
      <c r="B644" s="3"/>
    </row>
    <row r="645" spans="2:2" ht="12.3">
      <c r="B645" s="3"/>
    </row>
    <row r="646" spans="2:2" ht="12.3">
      <c r="B646" s="3"/>
    </row>
    <row r="647" spans="2:2" ht="12.3">
      <c r="B647" s="3"/>
    </row>
    <row r="648" spans="2:2" ht="12.3">
      <c r="B648" s="3"/>
    </row>
    <row r="649" spans="2:2" ht="12.3">
      <c r="B649" s="3"/>
    </row>
    <row r="650" spans="2:2" ht="12.3">
      <c r="B650" s="3"/>
    </row>
    <row r="651" spans="2:2" ht="12.3">
      <c r="B651" s="3"/>
    </row>
    <row r="652" spans="2:2" ht="12.3">
      <c r="B652" s="3"/>
    </row>
    <row r="653" spans="2:2" ht="12.3">
      <c r="B653" s="3"/>
    </row>
    <row r="654" spans="2:2" ht="12.3">
      <c r="B654" s="3"/>
    </row>
    <row r="655" spans="2:2" ht="12.3">
      <c r="B655" s="3"/>
    </row>
    <row r="656" spans="2:2" ht="12.3">
      <c r="B656" s="3"/>
    </row>
    <row r="657" spans="2:2" ht="12.3">
      <c r="B657" s="3"/>
    </row>
    <row r="658" spans="2:2" ht="12.3">
      <c r="B658" s="3"/>
    </row>
    <row r="659" spans="2:2" ht="12.3">
      <c r="B659" s="3"/>
    </row>
    <row r="660" spans="2:2" ht="12.3">
      <c r="B660" s="3"/>
    </row>
    <row r="661" spans="2:2" ht="12.3">
      <c r="B661" s="3"/>
    </row>
    <row r="662" spans="2:2" ht="12.3">
      <c r="B662" s="3"/>
    </row>
    <row r="663" spans="2:2" ht="12.3">
      <c r="B663" s="3"/>
    </row>
    <row r="664" spans="2:2" ht="12.3">
      <c r="B664" s="3"/>
    </row>
    <row r="665" spans="2:2" ht="12.3">
      <c r="B665" s="3"/>
    </row>
    <row r="666" spans="2:2" ht="12.3">
      <c r="B666" s="3"/>
    </row>
    <row r="667" spans="2:2" ht="12.3">
      <c r="B667" s="3"/>
    </row>
    <row r="668" spans="2:2" ht="12.3">
      <c r="B668" s="3"/>
    </row>
    <row r="669" spans="2:2" ht="12.3">
      <c r="B669" s="3"/>
    </row>
    <row r="670" spans="2:2" ht="12.3">
      <c r="B670" s="3"/>
    </row>
    <row r="671" spans="2:2" ht="12.3">
      <c r="B671" s="3"/>
    </row>
    <row r="672" spans="2:2" ht="12.3">
      <c r="B672" s="3"/>
    </row>
    <row r="673" spans="2:2" ht="12.3">
      <c r="B673" s="3"/>
    </row>
    <row r="674" spans="2:2" ht="12.3">
      <c r="B674" s="3"/>
    </row>
    <row r="675" spans="2:2" ht="12.3">
      <c r="B675" s="3"/>
    </row>
    <row r="676" spans="2:2" ht="12.3">
      <c r="B676" s="3"/>
    </row>
    <row r="677" spans="2:2" ht="12.3">
      <c r="B677" s="3"/>
    </row>
    <row r="678" spans="2:2" ht="12.3">
      <c r="B678" s="3"/>
    </row>
    <row r="679" spans="2:2" ht="12.3">
      <c r="B679" s="3"/>
    </row>
    <row r="680" spans="2:2" ht="12.3">
      <c r="B680" s="3"/>
    </row>
    <row r="681" spans="2:2" ht="12.3">
      <c r="B681" s="3"/>
    </row>
    <row r="682" spans="2:2" ht="12.3">
      <c r="B682" s="3"/>
    </row>
    <row r="683" spans="2:2" ht="12.3">
      <c r="B683" s="3"/>
    </row>
    <row r="684" spans="2:2" ht="12.3">
      <c r="B684" s="3"/>
    </row>
    <row r="685" spans="2:2" ht="12.3">
      <c r="B685" s="3"/>
    </row>
    <row r="686" spans="2:2" ht="12.3">
      <c r="B686" s="3"/>
    </row>
    <row r="687" spans="2:2" ht="12.3">
      <c r="B687" s="3"/>
    </row>
    <row r="688" spans="2:2" ht="12.3">
      <c r="B688" s="3"/>
    </row>
    <row r="689" spans="2:2" ht="12.3">
      <c r="B689" s="3"/>
    </row>
    <row r="690" spans="2:2" ht="12.3">
      <c r="B690" s="3"/>
    </row>
    <row r="691" spans="2:2" ht="12.3">
      <c r="B691" s="3"/>
    </row>
    <row r="692" spans="2:2" ht="12.3">
      <c r="B692" s="3"/>
    </row>
    <row r="693" spans="2:2" ht="12.3">
      <c r="B693" s="3"/>
    </row>
    <row r="694" spans="2:2" ht="12.3">
      <c r="B694" s="3"/>
    </row>
    <row r="695" spans="2:2" ht="12.3">
      <c r="B695" s="3"/>
    </row>
    <row r="696" spans="2:2" ht="12.3">
      <c r="B696" s="3"/>
    </row>
    <row r="697" spans="2:2" ht="12.3">
      <c r="B697" s="3"/>
    </row>
    <row r="698" spans="2:2" ht="12.3">
      <c r="B698" s="3"/>
    </row>
    <row r="699" spans="2:2" ht="12.3">
      <c r="B699" s="3"/>
    </row>
    <row r="700" spans="2:2" ht="12.3">
      <c r="B700" s="3"/>
    </row>
    <row r="701" spans="2:2" ht="12.3">
      <c r="B701" s="3"/>
    </row>
    <row r="702" spans="2:2" ht="12.3">
      <c r="B702" s="3"/>
    </row>
    <row r="703" spans="2:2" ht="12.3">
      <c r="B703" s="3"/>
    </row>
    <row r="704" spans="2:2" ht="12.3">
      <c r="B704" s="3"/>
    </row>
    <row r="705" spans="2:2" ht="12.3">
      <c r="B705" s="3"/>
    </row>
    <row r="706" spans="2:2" ht="12.3">
      <c r="B706" s="3"/>
    </row>
    <row r="707" spans="2:2" ht="12.3">
      <c r="B707" s="3"/>
    </row>
    <row r="708" spans="2:2" ht="12.3">
      <c r="B708" s="3"/>
    </row>
    <row r="709" spans="2:2" ht="12.3">
      <c r="B709" s="3"/>
    </row>
    <row r="710" spans="2:2" ht="12.3">
      <c r="B710" s="3"/>
    </row>
    <row r="711" spans="2:2" ht="12.3">
      <c r="B711" s="3"/>
    </row>
    <row r="712" spans="2:2" ht="12.3">
      <c r="B712" s="3"/>
    </row>
    <row r="713" spans="2:2" ht="12.3">
      <c r="B713" s="3"/>
    </row>
    <row r="714" spans="2:2" ht="12.3">
      <c r="B714" s="3"/>
    </row>
    <row r="715" spans="2:2" ht="12.3">
      <c r="B715" s="3"/>
    </row>
    <row r="716" spans="2:2" ht="12.3">
      <c r="B716" s="3"/>
    </row>
    <row r="717" spans="2:2" ht="12.3">
      <c r="B717" s="3"/>
    </row>
    <row r="718" spans="2:2" ht="12.3">
      <c r="B718" s="3"/>
    </row>
    <row r="719" spans="2:2" ht="12.3">
      <c r="B719" s="3"/>
    </row>
    <row r="720" spans="2:2" ht="12.3">
      <c r="B720" s="3"/>
    </row>
    <row r="721" spans="2:2" ht="12.3">
      <c r="B721" s="3"/>
    </row>
    <row r="722" spans="2:2" ht="12.3">
      <c r="B722" s="3"/>
    </row>
    <row r="723" spans="2:2" ht="12.3">
      <c r="B723" s="3"/>
    </row>
    <row r="724" spans="2:2" ht="12.3">
      <c r="B724" s="3"/>
    </row>
    <row r="725" spans="2:2" ht="12.3">
      <c r="B725" s="3"/>
    </row>
    <row r="726" spans="2:2" ht="12.3">
      <c r="B726" s="3"/>
    </row>
    <row r="727" spans="2:2" ht="12.3">
      <c r="B727" s="3"/>
    </row>
    <row r="728" spans="2:2" ht="12.3">
      <c r="B728" s="3"/>
    </row>
    <row r="729" spans="2:2" ht="12.3">
      <c r="B729" s="3"/>
    </row>
    <row r="730" spans="2:2" ht="12.3">
      <c r="B730" s="3"/>
    </row>
    <row r="731" spans="2:2" ht="12.3">
      <c r="B731" s="3"/>
    </row>
    <row r="732" spans="2:2" ht="12.3">
      <c r="B732" s="3"/>
    </row>
    <row r="733" spans="2:2" ht="12.3">
      <c r="B733" s="3"/>
    </row>
    <row r="734" spans="2:2" ht="12.3">
      <c r="B734" s="3"/>
    </row>
    <row r="735" spans="2:2" ht="12.3">
      <c r="B735" s="3"/>
    </row>
    <row r="736" spans="2:2" ht="12.3">
      <c r="B736" s="3"/>
    </row>
    <row r="737" spans="2:2" ht="12.3">
      <c r="B737" s="3"/>
    </row>
    <row r="738" spans="2:2" ht="12.3">
      <c r="B738" s="3"/>
    </row>
    <row r="739" spans="2:2" ht="12.3">
      <c r="B739" s="3"/>
    </row>
    <row r="740" spans="2:2" ht="12.3">
      <c r="B740" s="3"/>
    </row>
    <row r="741" spans="2:2" ht="12.3">
      <c r="B741" s="3"/>
    </row>
    <row r="742" spans="2:2" ht="12.3">
      <c r="B742" s="3"/>
    </row>
    <row r="743" spans="2:2" ht="12.3">
      <c r="B743" s="3"/>
    </row>
    <row r="744" spans="2:2" ht="12.3">
      <c r="B744" s="3"/>
    </row>
    <row r="745" spans="2:2" ht="12.3">
      <c r="B745" s="3"/>
    </row>
    <row r="746" spans="2:2" ht="12.3">
      <c r="B746" s="3"/>
    </row>
    <row r="747" spans="2:2" ht="12.3">
      <c r="B747" s="3"/>
    </row>
    <row r="748" spans="2:2" ht="12.3">
      <c r="B748" s="3"/>
    </row>
    <row r="749" spans="2:2" ht="12.3">
      <c r="B749" s="3"/>
    </row>
    <row r="750" spans="2:2" ht="12.3">
      <c r="B750" s="3"/>
    </row>
    <row r="751" spans="2:2" ht="12.3">
      <c r="B751" s="3"/>
    </row>
    <row r="752" spans="2:2" ht="12.3">
      <c r="B752" s="3"/>
    </row>
    <row r="753" spans="2:2" ht="12.3">
      <c r="B753" s="3"/>
    </row>
    <row r="754" spans="2:2" ht="12.3">
      <c r="B754" s="3"/>
    </row>
    <row r="755" spans="2:2" ht="12.3">
      <c r="B755" s="3"/>
    </row>
    <row r="756" spans="2:2" ht="12.3">
      <c r="B756" s="3"/>
    </row>
    <row r="757" spans="2:2" ht="12.3">
      <c r="B757" s="3"/>
    </row>
    <row r="758" spans="2:2" ht="12.3">
      <c r="B758" s="3"/>
    </row>
    <row r="759" spans="2:2" ht="12.3">
      <c r="B759" s="3"/>
    </row>
    <row r="760" spans="2:2" ht="12.3">
      <c r="B760" s="3"/>
    </row>
    <row r="761" spans="2:2" ht="12.3">
      <c r="B761" s="3"/>
    </row>
    <row r="762" spans="2:2" ht="12.3">
      <c r="B762" s="3"/>
    </row>
    <row r="763" spans="2:2" ht="12.3">
      <c r="B763" s="3"/>
    </row>
    <row r="764" spans="2:2" ht="12.3">
      <c r="B764" s="3"/>
    </row>
    <row r="765" spans="2:2" ht="12.3">
      <c r="B765" s="3"/>
    </row>
    <row r="766" spans="2:2" ht="12.3">
      <c r="B766" s="3"/>
    </row>
    <row r="767" spans="2:2" ht="12.3">
      <c r="B767" s="3"/>
    </row>
    <row r="768" spans="2:2" ht="12.3">
      <c r="B768" s="3"/>
    </row>
    <row r="769" spans="2:2" ht="12.3">
      <c r="B769" s="3"/>
    </row>
    <row r="770" spans="2:2" ht="12.3">
      <c r="B770" s="3"/>
    </row>
    <row r="771" spans="2:2" ht="12.3">
      <c r="B771" s="3"/>
    </row>
    <row r="772" spans="2:2" ht="12.3">
      <c r="B772" s="3"/>
    </row>
    <row r="773" spans="2:2" ht="12.3">
      <c r="B773" s="3"/>
    </row>
    <row r="774" spans="2:2" ht="12.3">
      <c r="B774" s="3"/>
    </row>
    <row r="775" spans="2:2" ht="12.3">
      <c r="B775" s="3"/>
    </row>
    <row r="776" spans="2:2" ht="12.3">
      <c r="B776" s="3"/>
    </row>
    <row r="777" spans="2:2" ht="12.3">
      <c r="B777" s="3"/>
    </row>
    <row r="778" spans="2:2" ht="12.3">
      <c r="B778" s="3"/>
    </row>
    <row r="779" spans="2:2" ht="12.3">
      <c r="B779" s="3"/>
    </row>
    <row r="780" spans="2:2" ht="12.3">
      <c r="B780" s="3"/>
    </row>
    <row r="781" spans="2:2" ht="12.3">
      <c r="B781" s="3"/>
    </row>
    <row r="782" spans="2:2" ht="12.3">
      <c r="B782" s="3"/>
    </row>
    <row r="783" spans="2:2" ht="12.3">
      <c r="B783" s="3"/>
    </row>
    <row r="784" spans="2:2" ht="12.3">
      <c r="B784" s="3"/>
    </row>
    <row r="785" spans="2:2" ht="12.3">
      <c r="B785" s="3"/>
    </row>
    <row r="786" spans="2:2" ht="12.3">
      <c r="B786" s="3"/>
    </row>
    <row r="787" spans="2:2" ht="12.3">
      <c r="B787" s="3"/>
    </row>
    <row r="788" spans="2:2" ht="12.3">
      <c r="B788" s="3"/>
    </row>
    <row r="789" spans="2:2" ht="12.3">
      <c r="B789" s="3"/>
    </row>
    <row r="790" spans="2:2" ht="12.3">
      <c r="B790" s="3"/>
    </row>
    <row r="791" spans="2:2" ht="12.3">
      <c r="B791" s="3"/>
    </row>
    <row r="792" spans="2:2" ht="12.3">
      <c r="B792" s="3"/>
    </row>
    <row r="793" spans="2:2" ht="12.3">
      <c r="B793" s="3"/>
    </row>
    <row r="794" spans="2:2" ht="12.3">
      <c r="B794" s="3"/>
    </row>
    <row r="795" spans="2:2" ht="12.3">
      <c r="B795" s="3"/>
    </row>
    <row r="796" spans="2:2" ht="12.3">
      <c r="B796" s="3"/>
    </row>
    <row r="797" spans="2:2" ht="12.3">
      <c r="B797" s="3"/>
    </row>
    <row r="798" spans="2:2" ht="12.3">
      <c r="B798" s="3"/>
    </row>
    <row r="799" spans="2:2" ht="12.3">
      <c r="B799" s="3"/>
    </row>
    <row r="800" spans="2:2" ht="12.3">
      <c r="B800" s="3"/>
    </row>
    <row r="801" spans="2:2" ht="12.3">
      <c r="B801" s="3"/>
    </row>
    <row r="802" spans="2:2" ht="12.3">
      <c r="B802" s="3"/>
    </row>
    <row r="803" spans="2:2" ht="12.3">
      <c r="B803" s="3"/>
    </row>
    <row r="804" spans="2:2" ht="12.3">
      <c r="B804" s="3"/>
    </row>
    <row r="805" spans="2:2" ht="12.3">
      <c r="B805" s="3"/>
    </row>
    <row r="806" spans="2:2" ht="12.3">
      <c r="B806" s="3"/>
    </row>
    <row r="807" spans="2:2" ht="12.3">
      <c r="B807" s="3"/>
    </row>
    <row r="808" spans="2:2" ht="12.3">
      <c r="B808" s="3"/>
    </row>
    <row r="809" spans="2:2" ht="12.3">
      <c r="B809" s="3"/>
    </row>
    <row r="810" spans="2:2" ht="12.3">
      <c r="B810" s="3"/>
    </row>
    <row r="811" spans="2:2" ht="12.3">
      <c r="B811" s="3"/>
    </row>
    <row r="812" spans="2:2" ht="12.3">
      <c r="B812" s="3"/>
    </row>
    <row r="813" spans="2:2" ht="12.3">
      <c r="B813" s="3"/>
    </row>
    <row r="814" spans="2:2" ht="12.3">
      <c r="B814" s="3"/>
    </row>
    <row r="815" spans="2:2" ht="12.3">
      <c r="B815" s="3"/>
    </row>
    <row r="816" spans="2:2" ht="12.3">
      <c r="B816" s="3"/>
    </row>
    <row r="817" spans="2:2" ht="12.3">
      <c r="B817" s="3"/>
    </row>
    <row r="818" spans="2:2" ht="12.3">
      <c r="B818" s="3"/>
    </row>
    <row r="819" spans="2:2" ht="12.3">
      <c r="B819" s="3"/>
    </row>
    <row r="820" spans="2:2" ht="12.3">
      <c r="B820" s="3"/>
    </row>
    <row r="821" spans="2:2" ht="12.3">
      <c r="B821" s="3"/>
    </row>
    <row r="822" spans="2:2" ht="12.3">
      <c r="B822" s="3"/>
    </row>
    <row r="823" spans="2:2" ht="12.3">
      <c r="B823" s="3"/>
    </row>
    <row r="824" spans="2:2" ht="12.3">
      <c r="B824" s="3"/>
    </row>
    <row r="825" spans="2:2" ht="12.3">
      <c r="B825" s="3"/>
    </row>
    <row r="826" spans="2:2" ht="12.3">
      <c r="B826" s="3"/>
    </row>
    <row r="827" spans="2:2" ht="12.3">
      <c r="B827" s="3"/>
    </row>
    <row r="828" spans="2:2" ht="12.3">
      <c r="B828" s="3"/>
    </row>
    <row r="829" spans="2:2" ht="12.3">
      <c r="B829" s="3"/>
    </row>
    <row r="830" spans="2:2" ht="12.3">
      <c r="B830" s="3"/>
    </row>
    <row r="831" spans="2:2" ht="12.3">
      <c r="B831" s="3"/>
    </row>
    <row r="832" spans="2:2" ht="12.3">
      <c r="B832" s="3"/>
    </row>
    <row r="833" spans="2:2" ht="12.3">
      <c r="B833" s="3"/>
    </row>
    <row r="834" spans="2:2" ht="12.3">
      <c r="B834" s="3"/>
    </row>
    <row r="835" spans="2:2" ht="12.3">
      <c r="B835" s="3"/>
    </row>
    <row r="836" spans="2:2" ht="12.3">
      <c r="B836" s="3"/>
    </row>
    <row r="837" spans="2:2" ht="12.3">
      <c r="B837" s="3"/>
    </row>
    <row r="838" spans="2:2" ht="12.3">
      <c r="B838" s="3"/>
    </row>
    <row r="839" spans="2:2" ht="12.3">
      <c r="B839" s="3"/>
    </row>
    <row r="840" spans="2:2" ht="12.3">
      <c r="B840" s="3"/>
    </row>
    <row r="841" spans="2:2" ht="12.3">
      <c r="B841" s="3"/>
    </row>
    <row r="842" spans="2:2" ht="12.3">
      <c r="B842" s="3"/>
    </row>
    <row r="843" spans="2:2" ht="12.3">
      <c r="B843" s="3"/>
    </row>
    <row r="844" spans="2:2" ht="12.3">
      <c r="B844" s="3"/>
    </row>
    <row r="845" spans="2:2" ht="12.3">
      <c r="B845" s="3"/>
    </row>
    <row r="846" spans="2:2" ht="12.3">
      <c r="B846" s="3"/>
    </row>
    <row r="847" spans="2:2" ht="12.3">
      <c r="B847" s="3"/>
    </row>
    <row r="848" spans="2:2" ht="12.3">
      <c r="B848" s="3"/>
    </row>
    <row r="849" spans="2:2" ht="12.3">
      <c r="B849" s="3"/>
    </row>
    <row r="850" spans="2:2" ht="12.3">
      <c r="B850" s="3"/>
    </row>
    <row r="851" spans="2:2" ht="12.3">
      <c r="B851" s="3"/>
    </row>
    <row r="852" spans="2:2" ht="12.3">
      <c r="B852" s="3"/>
    </row>
    <row r="853" spans="2:2" ht="12.3">
      <c r="B853" s="3"/>
    </row>
    <row r="854" spans="2:2" ht="12.3">
      <c r="B854" s="3"/>
    </row>
    <row r="855" spans="2:2" ht="12.3">
      <c r="B855" s="3"/>
    </row>
    <row r="856" spans="2:2" ht="12.3">
      <c r="B856" s="3"/>
    </row>
    <row r="857" spans="2:2" ht="12.3">
      <c r="B857" s="3"/>
    </row>
    <row r="858" spans="2:2" ht="12.3">
      <c r="B858" s="3"/>
    </row>
    <row r="859" spans="2:2" ht="12.3">
      <c r="B859" s="3"/>
    </row>
    <row r="860" spans="2:2" ht="12.3">
      <c r="B860" s="3"/>
    </row>
    <row r="861" spans="2:2" ht="12.3">
      <c r="B861" s="3"/>
    </row>
    <row r="862" spans="2:2" ht="12.3">
      <c r="B862" s="3"/>
    </row>
    <row r="863" spans="2:2" ht="12.3">
      <c r="B863" s="3"/>
    </row>
    <row r="864" spans="2:2" ht="12.3">
      <c r="B864" s="3"/>
    </row>
    <row r="865" spans="2:2" ht="12.3">
      <c r="B865" s="3"/>
    </row>
    <row r="866" spans="2:2" ht="12.3">
      <c r="B866" s="3"/>
    </row>
    <row r="867" spans="2:2" ht="12.3">
      <c r="B867" s="3"/>
    </row>
    <row r="868" spans="2:2" ht="12.3">
      <c r="B868" s="3"/>
    </row>
    <row r="869" spans="2:2" ht="12.3">
      <c r="B869" s="3"/>
    </row>
    <row r="870" spans="2:2" ht="12.3">
      <c r="B870" s="3"/>
    </row>
    <row r="871" spans="2:2" ht="12.3">
      <c r="B871" s="3"/>
    </row>
    <row r="872" spans="2:2" ht="12.3">
      <c r="B872" s="3"/>
    </row>
    <row r="873" spans="2:2" ht="12.3">
      <c r="B873" s="3"/>
    </row>
    <row r="874" spans="2:2" ht="12.3">
      <c r="B874" s="3"/>
    </row>
    <row r="875" spans="2:2" ht="12.3">
      <c r="B875" s="3"/>
    </row>
    <row r="876" spans="2:2" ht="12.3">
      <c r="B876" s="3"/>
    </row>
    <row r="877" spans="2:2" ht="12.3">
      <c r="B877" s="3"/>
    </row>
    <row r="878" spans="2:2" ht="12.3">
      <c r="B878" s="3"/>
    </row>
    <row r="879" spans="2:2" ht="12.3">
      <c r="B879" s="3"/>
    </row>
    <row r="880" spans="2:2" ht="12.3">
      <c r="B880" s="3"/>
    </row>
    <row r="881" spans="2:2" ht="12.3">
      <c r="B881" s="3"/>
    </row>
    <row r="882" spans="2:2" ht="12.3">
      <c r="B882" s="3"/>
    </row>
    <row r="883" spans="2:2" ht="12.3">
      <c r="B883" s="3"/>
    </row>
    <row r="884" spans="2:2" ht="12.3">
      <c r="B884" s="3"/>
    </row>
    <row r="885" spans="2:2" ht="12.3">
      <c r="B885" s="3"/>
    </row>
    <row r="886" spans="2:2" ht="12.3">
      <c r="B886" s="3"/>
    </row>
    <row r="887" spans="2:2" ht="12.3">
      <c r="B887" s="3"/>
    </row>
    <row r="888" spans="2:2" ht="12.3">
      <c r="B888" s="3"/>
    </row>
    <row r="889" spans="2:2" ht="12.3">
      <c r="B889" s="3"/>
    </row>
    <row r="890" spans="2:2" ht="12.3">
      <c r="B890" s="3"/>
    </row>
    <row r="891" spans="2:2" ht="12.3">
      <c r="B891" s="3"/>
    </row>
    <row r="892" spans="2:2" ht="12.3">
      <c r="B892" s="3"/>
    </row>
    <row r="893" spans="2:2" ht="12.3">
      <c r="B893" s="3"/>
    </row>
    <row r="894" spans="2:2" ht="12.3">
      <c r="B894" s="3"/>
    </row>
    <row r="895" spans="2:2" ht="12.3">
      <c r="B895" s="3"/>
    </row>
    <row r="896" spans="2:2" ht="12.3">
      <c r="B896" s="3"/>
    </row>
    <row r="897" spans="2:2" ht="12.3">
      <c r="B897" s="3"/>
    </row>
    <row r="898" spans="2:2" ht="12.3">
      <c r="B898" s="3"/>
    </row>
    <row r="899" spans="2:2" ht="12.3">
      <c r="B899" s="3"/>
    </row>
    <row r="900" spans="2:2" ht="12.3">
      <c r="B900" s="3"/>
    </row>
    <row r="901" spans="2:2" ht="12.3">
      <c r="B901" s="3"/>
    </row>
    <row r="902" spans="2:2" ht="12.3">
      <c r="B902" s="3"/>
    </row>
    <row r="903" spans="2:2" ht="12.3">
      <c r="B903" s="3"/>
    </row>
    <row r="904" spans="2:2" ht="12.3">
      <c r="B904" s="3"/>
    </row>
    <row r="905" spans="2:2" ht="12.3">
      <c r="B905" s="3"/>
    </row>
    <row r="906" spans="2:2" ht="12.3">
      <c r="B906" s="3"/>
    </row>
    <row r="907" spans="2:2" ht="12.3">
      <c r="B907" s="3"/>
    </row>
    <row r="908" spans="2:2" ht="12.3">
      <c r="B908" s="3"/>
    </row>
    <row r="909" spans="2:2" ht="12.3">
      <c r="B909" s="3"/>
    </row>
    <row r="910" spans="2:2" ht="12.3">
      <c r="B910" s="3"/>
    </row>
    <row r="911" spans="2:2" ht="12.3">
      <c r="B911" s="3"/>
    </row>
    <row r="912" spans="2:2" ht="12.3">
      <c r="B912" s="3"/>
    </row>
    <row r="913" spans="2:2" ht="12.3">
      <c r="B913" s="3"/>
    </row>
    <row r="914" spans="2:2" ht="12.3">
      <c r="B914" s="3"/>
    </row>
    <row r="915" spans="2:2" ht="12.3">
      <c r="B915" s="3"/>
    </row>
    <row r="916" spans="2:2" ht="12.3">
      <c r="B916" s="3"/>
    </row>
    <row r="917" spans="2:2" ht="12.3">
      <c r="B917" s="3"/>
    </row>
    <row r="918" spans="2:2" ht="12.3">
      <c r="B918" s="3"/>
    </row>
    <row r="919" spans="2:2" ht="12.3">
      <c r="B919" s="3"/>
    </row>
    <row r="920" spans="2:2" ht="12.3">
      <c r="B920" s="3"/>
    </row>
    <row r="921" spans="2:2" ht="12.3">
      <c r="B921" s="3"/>
    </row>
    <row r="922" spans="2:2" ht="12.3">
      <c r="B922" s="3"/>
    </row>
    <row r="923" spans="2:2" ht="12.3">
      <c r="B923" s="3"/>
    </row>
    <row r="924" spans="2:2" ht="12.3">
      <c r="B924" s="3"/>
    </row>
    <row r="925" spans="2:2" ht="12.3">
      <c r="B925" s="3"/>
    </row>
    <row r="926" spans="2:2" ht="12.3">
      <c r="B926" s="3"/>
    </row>
    <row r="927" spans="2:2" ht="12.3">
      <c r="B927" s="3"/>
    </row>
    <row r="928" spans="2:2" ht="12.3">
      <c r="B928" s="3"/>
    </row>
    <row r="929" spans="2:2" ht="12.3">
      <c r="B929" s="3"/>
    </row>
    <row r="930" spans="2:2" ht="12.3">
      <c r="B930" s="3"/>
    </row>
    <row r="931" spans="2:2" ht="12.3">
      <c r="B931" s="3"/>
    </row>
    <row r="932" spans="2:2" ht="12.3">
      <c r="B932" s="3"/>
    </row>
    <row r="933" spans="2:2" ht="12.3">
      <c r="B933" s="3"/>
    </row>
    <row r="934" spans="2:2" ht="12.3">
      <c r="B934" s="3"/>
    </row>
    <row r="935" spans="2:2" ht="12.3">
      <c r="B935" s="3"/>
    </row>
    <row r="936" spans="2:2" ht="12.3">
      <c r="B936" s="3"/>
    </row>
    <row r="937" spans="2:2" ht="12.3">
      <c r="B937" s="3"/>
    </row>
    <row r="938" spans="2:2" ht="12.3">
      <c r="B938" s="3"/>
    </row>
    <row r="939" spans="2:2" ht="12.3">
      <c r="B939" s="3"/>
    </row>
    <row r="940" spans="2:2" ht="12.3">
      <c r="B940" s="3"/>
    </row>
    <row r="941" spans="2:2" ht="12.3">
      <c r="B941" s="3"/>
    </row>
    <row r="942" spans="2:2" ht="12.3">
      <c r="B942" s="3"/>
    </row>
    <row r="943" spans="2:2" ht="12.3">
      <c r="B943" s="3"/>
    </row>
    <row r="944" spans="2:2" ht="12.3">
      <c r="B944" s="3"/>
    </row>
    <row r="945" spans="2:2" ht="12.3">
      <c r="B945" s="3"/>
    </row>
    <row r="946" spans="2:2" ht="12.3">
      <c r="B946" s="3"/>
    </row>
    <row r="947" spans="2:2" ht="12.3">
      <c r="B947" s="3"/>
    </row>
    <row r="948" spans="2:2" ht="12.3">
      <c r="B948" s="3"/>
    </row>
    <row r="949" spans="2:2" ht="12.3">
      <c r="B949" s="3"/>
    </row>
    <row r="950" spans="2:2" ht="12.3">
      <c r="B950" s="3"/>
    </row>
    <row r="951" spans="2:2" ht="12.3">
      <c r="B951" s="3"/>
    </row>
    <row r="952" spans="2:2" ht="12.3">
      <c r="B952" s="3"/>
    </row>
    <row r="953" spans="2:2" ht="12.3">
      <c r="B953" s="3"/>
    </row>
    <row r="954" spans="2:2" ht="12.3">
      <c r="B954" s="3"/>
    </row>
    <row r="955" spans="2:2" ht="12.3">
      <c r="B955" s="3"/>
    </row>
    <row r="956" spans="2:2" ht="12.3">
      <c r="B956" s="3"/>
    </row>
    <row r="957" spans="2:2" ht="12.3">
      <c r="B957" s="3"/>
    </row>
    <row r="958" spans="2:2" ht="12.3">
      <c r="B958" s="3"/>
    </row>
    <row r="959" spans="2:2" ht="12.3">
      <c r="B959" s="3"/>
    </row>
    <row r="960" spans="2:2" ht="12.3">
      <c r="B960" s="3"/>
    </row>
    <row r="961" spans="2:2" ht="12.3">
      <c r="B961" s="3"/>
    </row>
    <row r="962" spans="2:2" ht="12.3">
      <c r="B962" s="3"/>
    </row>
    <row r="963" spans="2:2" ht="12.3">
      <c r="B963" s="3"/>
    </row>
    <row r="964" spans="2:2" ht="12.3">
      <c r="B964" s="3"/>
    </row>
    <row r="965" spans="2:2" ht="12.3">
      <c r="B965" s="3"/>
    </row>
    <row r="966" spans="2:2" ht="12.3">
      <c r="B966" s="3"/>
    </row>
    <row r="967" spans="2:2" ht="12.3">
      <c r="B967" s="3"/>
    </row>
    <row r="968" spans="2:2" ht="12.3">
      <c r="B968" s="3"/>
    </row>
    <row r="969" spans="2:2" ht="12.3">
      <c r="B969" s="3"/>
    </row>
    <row r="970" spans="2:2" ht="12.3">
      <c r="B970" s="3"/>
    </row>
    <row r="971" spans="2:2" ht="12.3">
      <c r="B971" s="3"/>
    </row>
    <row r="972" spans="2:2" ht="12.3">
      <c r="B972" s="3"/>
    </row>
    <row r="973" spans="2:2" ht="12.3">
      <c r="B973" s="3"/>
    </row>
    <row r="974" spans="2:2" ht="12.3">
      <c r="B974" s="3"/>
    </row>
    <row r="975" spans="2:2" ht="12.3">
      <c r="B975" s="3"/>
    </row>
    <row r="976" spans="2:2" ht="12.3">
      <c r="B976" s="3"/>
    </row>
    <row r="977" spans="2:2" ht="12.3">
      <c r="B977" s="3"/>
    </row>
    <row r="978" spans="2:2" ht="12.3">
      <c r="B978" s="3"/>
    </row>
    <row r="979" spans="2:2" ht="12.3">
      <c r="B979" s="3"/>
    </row>
    <row r="980" spans="2:2" ht="12.3">
      <c r="B980" s="3"/>
    </row>
    <row r="981" spans="2:2" ht="12.3">
      <c r="B981" s="3"/>
    </row>
    <row r="982" spans="2:2" ht="12.3">
      <c r="B982" s="3"/>
    </row>
    <row r="983" spans="2:2" ht="12.3">
      <c r="B983" s="3"/>
    </row>
    <row r="984" spans="2:2" ht="12.3">
      <c r="B984" s="3"/>
    </row>
    <row r="985" spans="2:2" ht="12.3">
      <c r="B985" s="3"/>
    </row>
    <row r="986" spans="2:2" ht="12.3">
      <c r="B986" s="3"/>
    </row>
    <row r="987" spans="2:2" ht="12.3">
      <c r="B987" s="3"/>
    </row>
    <row r="988" spans="2:2" ht="12.3">
      <c r="B988" s="3"/>
    </row>
    <row r="989" spans="2:2" ht="12.3">
      <c r="B989" s="3"/>
    </row>
    <row r="990" spans="2:2" ht="12.3">
      <c r="B990" s="3"/>
    </row>
    <row r="991" spans="2:2" ht="12.3">
      <c r="B991" s="3"/>
    </row>
    <row r="992" spans="2:2" ht="12.3">
      <c r="B992" s="3"/>
    </row>
    <row r="993" spans="2:2" ht="12.3">
      <c r="B993" s="3"/>
    </row>
    <row r="994" spans="2:2" ht="12.3">
      <c r="B994" s="3"/>
    </row>
    <row r="995" spans="2:2" ht="12.3">
      <c r="B995" s="3"/>
    </row>
    <row r="996" spans="2:2" ht="12.3">
      <c r="B996" s="3"/>
    </row>
    <row r="997" spans="2:2" ht="12.3">
      <c r="B997" s="3"/>
    </row>
    <row r="998" spans="2:2" ht="12.3">
      <c r="B998" s="3"/>
    </row>
    <row r="999" spans="2:2" ht="12.3">
      <c r="B999" s="3"/>
    </row>
  </sheetData>
  <mergeCells count="1">
    <mergeCell ref="E8:E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112225</vt:lpstr>
      <vt:lpstr>112325</vt:lpstr>
      <vt:lpstr>112425</vt:lpstr>
      <vt:lpstr>112525</vt:lpstr>
      <vt:lpstr>112625</vt:lpstr>
      <vt:lpstr>112725</vt:lpstr>
      <vt:lpstr>112825</vt:lpstr>
      <vt:lpstr>112925</vt:lpstr>
      <vt:lpstr>113025</vt:lpstr>
      <vt:lpstr>12125</vt:lpstr>
      <vt:lpstr>12225</vt:lpstr>
      <vt:lpstr>12325</vt:lpstr>
      <vt:lpstr>12425</vt:lpstr>
      <vt:lpstr>12525</vt:lpstr>
      <vt:lpstr>12625</vt:lpstr>
      <vt:lpstr>12725</vt:lpstr>
      <vt:lpstr>12825</vt:lpstr>
      <vt:lpstr>12925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 Rodriguez</dc:creator>
  <cp:lastModifiedBy>Luis Rodriguez</cp:lastModifiedBy>
  <dcterms:created xsi:type="dcterms:W3CDTF">2025-12-09T20:48:49Z</dcterms:created>
  <dcterms:modified xsi:type="dcterms:W3CDTF">2025-12-09T21:35:54Z</dcterms:modified>
</cp:coreProperties>
</file>